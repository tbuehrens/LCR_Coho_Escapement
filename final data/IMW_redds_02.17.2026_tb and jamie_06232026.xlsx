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jamie_lamperth_dfw_wa_gov/Documents/13_LC - IMW/IMW Analysis/Adult Abundance/Thomas - IMW Redd Coho RpF/2025 update/"/>
    </mc:Choice>
  </mc:AlternateContent>
  <xr:revisionPtr revIDLastSave="63" documentId="8_{CE6ABFD6-8729-41FF-BBBE-8D93E7E3F661}" xr6:coauthVersionLast="47" xr6:coauthVersionMax="47" xr10:uidLastSave="{B8705D81-8A8E-4A5A-89CA-4BED92ECA2D2}"/>
  <bookViews>
    <workbookView xWindow="-28920" yWindow="-120" windowWidth="29040" windowHeight="15720" xr2:uid="{00000000-000D-0000-FFFF-FFFF00000000}"/>
  </bookViews>
  <sheets>
    <sheet name="IMW_redds_04.07.2022_tb and j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" i="1" l="1"/>
  <c r="Y49" i="1"/>
  <c r="AI49" i="1" s="1"/>
  <c r="W47" i="1" l="1"/>
  <c r="V47" i="1"/>
  <c r="U47" i="1"/>
  <c r="T47" i="1"/>
  <c r="S47" i="1"/>
  <c r="R47" i="1"/>
  <c r="Q47" i="1"/>
  <c r="P47" i="1"/>
  <c r="O47" i="1"/>
  <c r="X46" i="1"/>
  <c r="W46" i="1"/>
  <c r="V46" i="1"/>
  <c r="U46" i="1"/>
  <c r="T46" i="1"/>
  <c r="S46" i="1"/>
  <c r="R46" i="1"/>
  <c r="Q46" i="1"/>
  <c r="P46" i="1"/>
  <c r="O46" i="1"/>
  <c r="Y47" i="1"/>
  <c r="O48" i="1"/>
  <c r="Y48" i="1"/>
  <c r="AI48" i="1"/>
  <c r="AI47" i="1"/>
  <c r="Y46" i="1"/>
  <c r="AI46" i="1" s="1"/>
  <c r="Y45" i="1"/>
  <c r="AI45" i="1" s="1"/>
  <c r="X45" i="1"/>
  <c r="W45" i="1"/>
  <c r="V45" i="1"/>
  <c r="U45" i="1"/>
  <c r="T45" i="1"/>
  <c r="S45" i="1"/>
  <c r="R45" i="1"/>
  <c r="Q45" i="1"/>
  <c r="P45" i="1"/>
  <c r="O45" i="1"/>
  <c r="Y44" i="1"/>
  <c r="AI44" i="1" s="1"/>
  <c r="X44" i="1"/>
  <c r="W44" i="1"/>
  <c r="V44" i="1"/>
  <c r="U44" i="1"/>
  <c r="T44" i="1"/>
  <c r="S44" i="1"/>
  <c r="R44" i="1"/>
  <c r="Q44" i="1"/>
  <c r="P44" i="1"/>
  <c r="O44" i="1"/>
  <c r="O39" i="1"/>
  <c r="P39" i="1"/>
  <c r="Q39" i="1"/>
  <c r="R39" i="1"/>
  <c r="S39" i="1"/>
  <c r="T39" i="1"/>
  <c r="U39" i="1"/>
  <c r="V39" i="1"/>
  <c r="W39" i="1"/>
  <c r="X39" i="1"/>
  <c r="O40" i="1"/>
  <c r="P40" i="1"/>
  <c r="Q40" i="1"/>
  <c r="R40" i="1"/>
  <c r="S40" i="1"/>
  <c r="T40" i="1"/>
  <c r="U40" i="1"/>
  <c r="V40" i="1"/>
  <c r="W40" i="1"/>
  <c r="X40" i="1"/>
  <c r="O41" i="1"/>
  <c r="P41" i="1"/>
  <c r="Q41" i="1"/>
  <c r="R41" i="1"/>
  <c r="S41" i="1"/>
  <c r="T41" i="1"/>
  <c r="U41" i="1"/>
  <c r="V41" i="1"/>
  <c r="W41" i="1"/>
  <c r="X41" i="1"/>
  <c r="O42" i="1"/>
  <c r="P42" i="1"/>
  <c r="Q42" i="1"/>
  <c r="R42" i="1"/>
  <c r="S42" i="1"/>
  <c r="T42" i="1"/>
  <c r="U42" i="1"/>
  <c r="V42" i="1"/>
  <c r="W42" i="1"/>
  <c r="X42" i="1"/>
  <c r="O43" i="1"/>
  <c r="P43" i="1"/>
  <c r="Q43" i="1"/>
  <c r="R43" i="1"/>
  <c r="S43" i="1"/>
  <c r="T43" i="1"/>
  <c r="U43" i="1"/>
  <c r="V43" i="1"/>
  <c r="W43" i="1"/>
  <c r="X43" i="1"/>
  <c r="AI41" i="1"/>
  <c r="AI42" i="1"/>
  <c r="AI43" i="1"/>
  <c r="Y43" i="1"/>
  <c r="Y42" i="1"/>
  <c r="Y41" i="1"/>
  <c r="AH40" i="1" l="1"/>
  <c r="AG40" i="1"/>
  <c r="AF40" i="1"/>
  <c r="AE40" i="1"/>
  <c r="AD40" i="1"/>
  <c r="AC40" i="1"/>
  <c r="AB40" i="1"/>
  <c r="AA40" i="1"/>
  <c r="Z40" i="1"/>
  <c r="Y40" i="1"/>
  <c r="AI40" i="1" s="1"/>
  <c r="AH39" i="1"/>
  <c r="AG39" i="1"/>
  <c r="AF39" i="1"/>
  <c r="AE39" i="1"/>
  <c r="AD39" i="1"/>
  <c r="AC39" i="1"/>
  <c r="AB39" i="1"/>
  <c r="AA39" i="1"/>
  <c r="Z39" i="1"/>
  <c r="Y39" i="1"/>
  <c r="AI39" i="1" s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AI11" i="1"/>
  <c r="AI13" i="1"/>
  <c r="AI12" i="1"/>
  <c r="Z35" i="1"/>
  <c r="AA35" i="1"/>
  <c r="AB35" i="1"/>
  <c r="AC35" i="1"/>
  <c r="AD35" i="1"/>
  <c r="AE35" i="1"/>
  <c r="AF35" i="1"/>
  <c r="AG35" i="1"/>
  <c r="AH35" i="1"/>
  <c r="Y35" i="1"/>
  <c r="AI35" i="1" s="1"/>
  <c r="Y29" i="1"/>
  <c r="AI29" i="1" s="1"/>
  <c r="Z32" i="1"/>
  <c r="AA32" i="1"/>
  <c r="AB32" i="1"/>
  <c r="AC32" i="1"/>
  <c r="AD32" i="1"/>
  <c r="AE32" i="1"/>
  <c r="AF32" i="1"/>
  <c r="AG32" i="1"/>
  <c r="AH32" i="1"/>
  <c r="Y32" i="1"/>
  <c r="AI32" i="1" s="1"/>
  <c r="Z29" i="1"/>
  <c r="AA29" i="1"/>
  <c r="AB29" i="1"/>
  <c r="AC29" i="1"/>
  <c r="AD29" i="1"/>
  <c r="AE29" i="1"/>
  <c r="AF29" i="1"/>
  <c r="AG29" i="1"/>
  <c r="AH29" i="1"/>
  <c r="Z26" i="1"/>
  <c r="AA26" i="1"/>
  <c r="AB26" i="1"/>
  <c r="AC26" i="1"/>
  <c r="AD26" i="1"/>
  <c r="AE26" i="1"/>
  <c r="AF26" i="1"/>
  <c r="AG26" i="1"/>
  <c r="AH26" i="1"/>
  <c r="Y26" i="1"/>
  <c r="AI26" i="1" s="1"/>
  <c r="Y23" i="1"/>
  <c r="AI23" i="1" s="1"/>
  <c r="Z23" i="1"/>
  <c r="AA23" i="1"/>
  <c r="AB23" i="1"/>
  <c r="AC23" i="1"/>
  <c r="AD23" i="1"/>
  <c r="AE23" i="1"/>
  <c r="AF23" i="1"/>
  <c r="AG23" i="1"/>
  <c r="AH23" i="1"/>
  <c r="Z20" i="1"/>
  <c r="AA20" i="1"/>
  <c r="AB20" i="1"/>
  <c r="AC20" i="1"/>
  <c r="AD20" i="1"/>
  <c r="AE20" i="1"/>
  <c r="AF20" i="1"/>
  <c r="AG20" i="1"/>
  <c r="AH20" i="1"/>
  <c r="Y20" i="1"/>
  <c r="AI20" i="1" s="1"/>
  <c r="Y17" i="1"/>
  <c r="Y14" i="1"/>
  <c r="Y11" i="1"/>
  <c r="Z8" i="1"/>
  <c r="AA8" i="1"/>
  <c r="AB8" i="1"/>
  <c r="AC8" i="1"/>
  <c r="AD8" i="1"/>
  <c r="AE8" i="1"/>
  <c r="AF8" i="1"/>
  <c r="AG8" i="1"/>
  <c r="AH8" i="1"/>
  <c r="Y8" i="1"/>
  <c r="AI8" i="1" s="1"/>
  <c r="Z5" i="1"/>
  <c r="AA5" i="1"/>
  <c r="AB5" i="1"/>
  <c r="AC5" i="1"/>
  <c r="AD5" i="1"/>
  <c r="AE5" i="1"/>
  <c r="AF5" i="1"/>
  <c r="AG5" i="1"/>
  <c r="AH5" i="1"/>
  <c r="Y5" i="1"/>
  <c r="AI5" i="1" s="1"/>
  <c r="AI38" i="1" l="1"/>
  <c r="Z17" i="1"/>
  <c r="AA17" i="1"/>
  <c r="AI17" i="1" s="1"/>
  <c r="AB17" i="1"/>
  <c r="AC17" i="1"/>
  <c r="AD17" i="1"/>
  <c r="AE17" i="1"/>
  <c r="AF17" i="1"/>
  <c r="AG17" i="1"/>
  <c r="AH17" i="1"/>
  <c r="Z15" i="1"/>
  <c r="AD15" i="1"/>
  <c r="AH15" i="1"/>
  <c r="Z16" i="1"/>
  <c r="AC16" i="1"/>
  <c r="AD16" i="1"/>
  <c r="AG16" i="1"/>
  <c r="AH16" i="1"/>
  <c r="Z14" i="1"/>
  <c r="AI14" i="1" s="1"/>
  <c r="AA14" i="1"/>
  <c r="AB14" i="1"/>
  <c r="AC14" i="1"/>
  <c r="AD14" i="1"/>
  <c r="AE14" i="1"/>
  <c r="AF14" i="1"/>
  <c r="AG14" i="1"/>
  <c r="AH14" i="1"/>
  <c r="Z11" i="1"/>
  <c r="AA11" i="1"/>
  <c r="AB11" i="1"/>
  <c r="AC11" i="1"/>
  <c r="AD11" i="1"/>
  <c r="AE11" i="1"/>
  <c r="AF11" i="1"/>
  <c r="AG11" i="1"/>
  <c r="AH11" i="1"/>
  <c r="Z2" i="1"/>
  <c r="AA2" i="1"/>
  <c r="AB2" i="1"/>
  <c r="AC2" i="1"/>
  <c r="AD2" i="1"/>
  <c r="AE2" i="1"/>
  <c r="AF2" i="1"/>
  <c r="AG2" i="1"/>
  <c r="AH2" i="1"/>
  <c r="Y2" i="1"/>
  <c r="O3" i="1"/>
  <c r="P3" i="1"/>
  <c r="Q3" i="1"/>
  <c r="R3" i="1"/>
  <c r="S3" i="1"/>
  <c r="T3" i="1"/>
  <c r="U3" i="1"/>
  <c r="V3" i="1"/>
  <c r="W3" i="1"/>
  <c r="X3" i="1"/>
  <c r="O4" i="1"/>
  <c r="P4" i="1"/>
  <c r="Q4" i="1"/>
  <c r="R4" i="1"/>
  <c r="S4" i="1"/>
  <c r="T4" i="1"/>
  <c r="U4" i="1"/>
  <c r="V4" i="1"/>
  <c r="W4" i="1"/>
  <c r="X4" i="1"/>
  <c r="O5" i="1"/>
  <c r="P5" i="1"/>
  <c r="Q5" i="1"/>
  <c r="R5" i="1"/>
  <c r="S5" i="1"/>
  <c r="T5" i="1"/>
  <c r="U5" i="1"/>
  <c r="V5" i="1"/>
  <c r="W5" i="1"/>
  <c r="X5" i="1"/>
  <c r="O6" i="1"/>
  <c r="P6" i="1"/>
  <c r="Q6" i="1"/>
  <c r="R6" i="1"/>
  <c r="S6" i="1"/>
  <c r="T6" i="1"/>
  <c r="U6" i="1"/>
  <c r="V6" i="1"/>
  <c r="W6" i="1"/>
  <c r="X6" i="1"/>
  <c r="O7" i="1"/>
  <c r="P7" i="1"/>
  <c r="Q7" i="1"/>
  <c r="R7" i="1"/>
  <c r="S7" i="1"/>
  <c r="T7" i="1"/>
  <c r="U7" i="1"/>
  <c r="V7" i="1"/>
  <c r="W7" i="1"/>
  <c r="X7" i="1"/>
  <c r="O8" i="1"/>
  <c r="P8" i="1"/>
  <c r="Q8" i="1"/>
  <c r="R8" i="1"/>
  <c r="S8" i="1"/>
  <c r="T8" i="1"/>
  <c r="U8" i="1"/>
  <c r="V8" i="1"/>
  <c r="W8" i="1"/>
  <c r="X8" i="1"/>
  <c r="O9" i="1"/>
  <c r="P9" i="1"/>
  <c r="Q9" i="1"/>
  <c r="R9" i="1"/>
  <c r="S9" i="1"/>
  <c r="T9" i="1"/>
  <c r="U9" i="1"/>
  <c r="V9" i="1"/>
  <c r="W9" i="1"/>
  <c r="X9" i="1"/>
  <c r="O10" i="1"/>
  <c r="P10" i="1"/>
  <c r="Q10" i="1"/>
  <c r="R10" i="1"/>
  <c r="S10" i="1"/>
  <c r="T10" i="1"/>
  <c r="U10" i="1"/>
  <c r="V10" i="1"/>
  <c r="W10" i="1"/>
  <c r="X10" i="1"/>
  <c r="O11" i="1"/>
  <c r="AB12" i="1" s="1"/>
  <c r="P11" i="1"/>
  <c r="Q11" i="1"/>
  <c r="R11" i="1"/>
  <c r="S11" i="1"/>
  <c r="T11" i="1"/>
  <c r="U11" i="1"/>
  <c r="V11" i="1"/>
  <c r="W11" i="1"/>
  <c r="X11" i="1"/>
  <c r="O12" i="1"/>
  <c r="P12" i="1"/>
  <c r="Q12" i="1"/>
  <c r="R12" i="1"/>
  <c r="S12" i="1"/>
  <c r="T12" i="1"/>
  <c r="U12" i="1"/>
  <c r="V12" i="1"/>
  <c r="W12" i="1"/>
  <c r="X12" i="1"/>
  <c r="O13" i="1"/>
  <c r="P13" i="1"/>
  <c r="Q13" i="1"/>
  <c r="R13" i="1"/>
  <c r="S13" i="1"/>
  <c r="T13" i="1"/>
  <c r="U13" i="1"/>
  <c r="V13" i="1"/>
  <c r="W13" i="1"/>
  <c r="X13" i="1"/>
  <c r="O14" i="1"/>
  <c r="AC15" i="1" s="1"/>
  <c r="P14" i="1"/>
  <c r="Q14" i="1"/>
  <c r="AA15" i="1" s="1"/>
  <c r="R14" i="1"/>
  <c r="S14" i="1"/>
  <c r="T14" i="1"/>
  <c r="U14" i="1"/>
  <c r="AE15" i="1" s="1"/>
  <c r="V14" i="1"/>
  <c r="W14" i="1"/>
  <c r="X14" i="1"/>
  <c r="O15" i="1"/>
  <c r="P15" i="1"/>
  <c r="Q15" i="1"/>
  <c r="R15" i="1"/>
  <c r="S15" i="1"/>
  <c r="T15" i="1"/>
  <c r="U15" i="1"/>
  <c r="V15" i="1"/>
  <c r="W15" i="1"/>
  <c r="X15" i="1"/>
  <c r="O16" i="1"/>
  <c r="P16" i="1"/>
  <c r="Q16" i="1"/>
  <c r="R16" i="1"/>
  <c r="S16" i="1"/>
  <c r="T16" i="1"/>
  <c r="U16" i="1"/>
  <c r="V16" i="1"/>
  <c r="W16" i="1"/>
  <c r="X16" i="1"/>
  <c r="O17" i="1"/>
  <c r="Z18" i="1" s="1"/>
  <c r="P17" i="1"/>
  <c r="Q17" i="1"/>
  <c r="R17" i="1"/>
  <c r="S17" i="1"/>
  <c r="T17" i="1"/>
  <c r="U17" i="1"/>
  <c r="V17" i="1"/>
  <c r="W17" i="1"/>
  <c r="X17" i="1"/>
  <c r="O18" i="1"/>
  <c r="P18" i="1"/>
  <c r="Q18" i="1"/>
  <c r="R18" i="1"/>
  <c r="S18" i="1"/>
  <c r="T18" i="1"/>
  <c r="U18" i="1"/>
  <c r="V18" i="1"/>
  <c r="W18" i="1"/>
  <c r="X18" i="1"/>
  <c r="O19" i="1"/>
  <c r="P19" i="1"/>
  <c r="Q19" i="1"/>
  <c r="R19" i="1"/>
  <c r="S19" i="1"/>
  <c r="T19" i="1"/>
  <c r="U19" i="1"/>
  <c r="V19" i="1"/>
  <c r="W19" i="1"/>
  <c r="X19" i="1"/>
  <c r="O20" i="1"/>
  <c r="P20" i="1"/>
  <c r="Q20" i="1"/>
  <c r="R20" i="1"/>
  <c r="S20" i="1"/>
  <c r="T20" i="1"/>
  <c r="U20" i="1"/>
  <c r="V20" i="1"/>
  <c r="W20" i="1"/>
  <c r="X20" i="1"/>
  <c r="O21" i="1"/>
  <c r="P21" i="1"/>
  <c r="Q21" i="1"/>
  <c r="R21" i="1"/>
  <c r="S21" i="1"/>
  <c r="T21" i="1"/>
  <c r="U21" i="1"/>
  <c r="V21" i="1"/>
  <c r="W21" i="1"/>
  <c r="X21" i="1"/>
  <c r="O22" i="1"/>
  <c r="P22" i="1"/>
  <c r="Q22" i="1"/>
  <c r="R22" i="1"/>
  <c r="S22" i="1"/>
  <c r="T22" i="1"/>
  <c r="U22" i="1"/>
  <c r="V22" i="1"/>
  <c r="W22" i="1"/>
  <c r="X22" i="1"/>
  <c r="O23" i="1"/>
  <c r="P23" i="1"/>
  <c r="Q23" i="1"/>
  <c r="R23" i="1"/>
  <c r="S23" i="1"/>
  <c r="T23" i="1"/>
  <c r="U23" i="1"/>
  <c r="V23" i="1"/>
  <c r="W23" i="1"/>
  <c r="X23" i="1"/>
  <c r="O24" i="1"/>
  <c r="P24" i="1"/>
  <c r="Q24" i="1"/>
  <c r="R24" i="1"/>
  <c r="S24" i="1"/>
  <c r="T24" i="1"/>
  <c r="U24" i="1"/>
  <c r="V24" i="1"/>
  <c r="W24" i="1"/>
  <c r="X24" i="1"/>
  <c r="O25" i="1"/>
  <c r="P25" i="1"/>
  <c r="Q25" i="1"/>
  <c r="R25" i="1"/>
  <c r="S25" i="1"/>
  <c r="T25" i="1"/>
  <c r="U25" i="1"/>
  <c r="V25" i="1"/>
  <c r="W25" i="1"/>
  <c r="X25" i="1"/>
  <c r="O26" i="1"/>
  <c r="P26" i="1"/>
  <c r="Q26" i="1"/>
  <c r="R26" i="1"/>
  <c r="S26" i="1"/>
  <c r="T26" i="1"/>
  <c r="U26" i="1"/>
  <c r="V26" i="1"/>
  <c r="W26" i="1"/>
  <c r="X26" i="1"/>
  <c r="O27" i="1"/>
  <c r="P27" i="1"/>
  <c r="Q27" i="1"/>
  <c r="R27" i="1"/>
  <c r="S27" i="1"/>
  <c r="T27" i="1"/>
  <c r="U27" i="1"/>
  <c r="V27" i="1"/>
  <c r="W27" i="1"/>
  <c r="X27" i="1"/>
  <c r="O28" i="1"/>
  <c r="P28" i="1"/>
  <c r="Q28" i="1"/>
  <c r="R28" i="1"/>
  <c r="S28" i="1"/>
  <c r="T28" i="1"/>
  <c r="U28" i="1"/>
  <c r="V28" i="1"/>
  <c r="W28" i="1"/>
  <c r="X28" i="1"/>
  <c r="O29" i="1"/>
  <c r="P29" i="1"/>
  <c r="Q29" i="1"/>
  <c r="R29" i="1"/>
  <c r="S29" i="1"/>
  <c r="T29" i="1"/>
  <c r="U29" i="1"/>
  <c r="V29" i="1"/>
  <c r="W29" i="1"/>
  <c r="X29" i="1"/>
  <c r="O30" i="1"/>
  <c r="P30" i="1"/>
  <c r="Q30" i="1"/>
  <c r="R30" i="1"/>
  <c r="S30" i="1"/>
  <c r="T30" i="1"/>
  <c r="U30" i="1"/>
  <c r="V30" i="1"/>
  <c r="W30" i="1"/>
  <c r="X30" i="1"/>
  <c r="O31" i="1"/>
  <c r="P31" i="1"/>
  <c r="Q31" i="1"/>
  <c r="R31" i="1"/>
  <c r="S31" i="1"/>
  <c r="T31" i="1"/>
  <c r="U31" i="1"/>
  <c r="V31" i="1"/>
  <c r="W31" i="1"/>
  <c r="X31" i="1"/>
  <c r="O32" i="1"/>
  <c r="P32" i="1"/>
  <c r="Q32" i="1"/>
  <c r="R32" i="1"/>
  <c r="S32" i="1"/>
  <c r="T32" i="1"/>
  <c r="U32" i="1"/>
  <c r="V32" i="1"/>
  <c r="W32" i="1"/>
  <c r="X32" i="1"/>
  <c r="O33" i="1"/>
  <c r="P33" i="1"/>
  <c r="Q33" i="1"/>
  <c r="R33" i="1"/>
  <c r="S33" i="1"/>
  <c r="T33" i="1"/>
  <c r="U33" i="1"/>
  <c r="V33" i="1"/>
  <c r="W33" i="1"/>
  <c r="X33" i="1"/>
  <c r="O34" i="1"/>
  <c r="P34" i="1"/>
  <c r="Q34" i="1"/>
  <c r="R34" i="1"/>
  <c r="S34" i="1"/>
  <c r="T34" i="1"/>
  <c r="U34" i="1"/>
  <c r="V34" i="1"/>
  <c r="W34" i="1"/>
  <c r="X34" i="1"/>
  <c r="O35" i="1"/>
  <c r="P35" i="1"/>
  <c r="Q35" i="1"/>
  <c r="R35" i="1"/>
  <c r="S35" i="1"/>
  <c r="T35" i="1"/>
  <c r="U35" i="1"/>
  <c r="V35" i="1"/>
  <c r="W35" i="1"/>
  <c r="X35" i="1"/>
  <c r="O36" i="1"/>
  <c r="P36" i="1"/>
  <c r="Q36" i="1"/>
  <c r="R36" i="1"/>
  <c r="S36" i="1"/>
  <c r="T36" i="1"/>
  <c r="U36" i="1"/>
  <c r="V36" i="1"/>
  <c r="W36" i="1"/>
  <c r="X36" i="1"/>
  <c r="O37" i="1"/>
  <c r="P37" i="1"/>
  <c r="Q37" i="1"/>
  <c r="R37" i="1"/>
  <c r="S37" i="1"/>
  <c r="T37" i="1"/>
  <c r="U37" i="1"/>
  <c r="V37" i="1"/>
  <c r="W37" i="1"/>
  <c r="X37" i="1"/>
  <c r="P2" i="1"/>
  <c r="Q2" i="1"/>
  <c r="R2" i="1"/>
  <c r="S2" i="1"/>
  <c r="T2" i="1"/>
  <c r="U2" i="1"/>
  <c r="V2" i="1"/>
  <c r="W2" i="1"/>
  <c r="X2" i="1"/>
  <c r="O2" i="1"/>
  <c r="Y3" i="1" s="1"/>
  <c r="AC4" i="1" l="1"/>
  <c r="AE3" i="1"/>
  <c r="AF3" i="1"/>
  <c r="AH4" i="1"/>
  <c r="Z4" i="1"/>
  <c r="AB3" i="1"/>
  <c r="AD4" i="1"/>
  <c r="AG4" i="1"/>
  <c r="Y4" i="1"/>
  <c r="AA3" i="1"/>
  <c r="AE13" i="1"/>
  <c r="AA13" i="1"/>
  <c r="AF12" i="1"/>
  <c r="AG19" i="1"/>
  <c r="AC19" i="1"/>
  <c r="AH18" i="1"/>
  <c r="AD18" i="1"/>
  <c r="Y36" i="1"/>
  <c r="AC36" i="1"/>
  <c r="AG36" i="1"/>
  <c r="AA37" i="1"/>
  <c r="AE37" i="1"/>
  <c r="Z36" i="1"/>
  <c r="AD36" i="1"/>
  <c r="AH36" i="1"/>
  <c r="AB37" i="1"/>
  <c r="AF37" i="1"/>
  <c r="AA36" i="1"/>
  <c r="AE36" i="1"/>
  <c r="Y37" i="1"/>
  <c r="AC37" i="1"/>
  <c r="AG37" i="1"/>
  <c r="AB36" i="1"/>
  <c r="AF36" i="1"/>
  <c r="Z37" i="1"/>
  <c r="AD37" i="1"/>
  <c r="AH37" i="1"/>
  <c r="Y25" i="1"/>
  <c r="AA24" i="1"/>
  <c r="AE24" i="1"/>
  <c r="Z25" i="1"/>
  <c r="AD25" i="1"/>
  <c r="AH25" i="1"/>
  <c r="AH24" i="1"/>
  <c r="Y24" i="1"/>
  <c r="AI24" i="1" s="1"/>
  <c r="AB24" i="1"/>
  <c r="AF24" i="1"/>
  <c r="AA25" i="1"/>
  <c r="AE25" i="1"/>
  <c r="AC24" i="1"/>
  <c r="AG24" i="1"/>
  <c r="AB25" i="1"/>
  <c r="AF25" i="1"/>
  <c r="Z24" i="1"/>
  <c r="AC25" i="1"/>
  <c r="AD24" i="1"/>
  <c r="AG25" i="1"/>
  <c r="Y19" i="1"/>
  <c r="Y18" i="1"/>
  <c r="Y12" i="1"/>
  <c r="Y13" i="1"/>
  <c r="Z6" i="1"/>
  <c r="AD6" i="1"/>
  <c r="AH6" i="1"/>
  <c r="AB7" i="1"/>
  <c r="AF7" i="1"/>
  <c r="AC6" i="1"/>
  <c r="AE7" i="1"/>
  <c r="AA6" i="1"/>
  <c r="AE6" i="1"/>
  <c r="Y7" i="1"/>
  <c r="AC7" i="1"/>
  <c r="AG7" i="1"/>
  <c r="AB6" i="1"/>
  <c r="AF6" i="1"/>
  <c r="Z7" i="1"/>
  <c r="AD7" i="1"/>
  <c r="AH7" i="1"/>
  <c r="AG6" i="1"/>
  <c r="AA7" i="1"/>
  <c r="Y6" i="1"/>
  <c r="AH13" i="1"/>
  <c r="Z13" i="1"/>
  <c r="AE12" i="1"/>
  <c r="AF19" i="1"/>
  <c r="AB19" i="1"/>
  <c r="AG18" i="1"/>
  <c r="AC18" i="1"/>
  <c r="AI2" i="1"/>
  <c r="AF4" i="1"/>
  <c r="AB4" i="1"/>
  <c r="AH3" i="1"/>
  <c r="AD3" i="1"/>
  <c r="Z3" i="1"/>
  <c r="AG13" i="1"/>
  <c r="AC13" i="1"/>
  <c r="AH12" i="1"/>
  <c r="AD12" i="1"/>
  <c r="Z12" i="1"/>
  <c r="AF16" i="1"/>
  <c r="AB16" i="1"/>
  <c r="AG15" i="1"/>
  <c r="AE19" i="1"/>
  <c r="AA19" i="1"/>
  <c r="AF18" i="1"/>
  <c r="AB18" i="1"/>
  <c r="AA30" i="1"/>
  <c r="AE30" i="1"/>
  <c r="Z31" i="1"/>
  <c r="AD31" i="1"/>
  <c r="AH31" i="1"/>
  <c r="Y31" i="1"/>
  <c r="AB30" i="1"/>
  <c r="AF30" i="1"/>
  <c r="AA31" i="1"/>
  <c r="AE31" i="1"/>
  <c r="Y30" i="1"/>
  <c r="AC30" i="1"/>
  <c r="AG30" i="1"/>
  <c r="AB31" i="1"/>
  <c r="AF31" i="1"/>
  <c r="Z30" i="1"/>
  <c r="AD30" i="1"/>
  <c r="AH30" i="1"/>
  <c r="AC31" i="1"/>
  <c r="AG31" i="1"/>
  <c r="AD13" i="1"/>
  <c r="AA12" i="1"/>
  <c r="Z33" i="1"/>
  <c r="AD33" i="1"/>
  <c r="AH33" i="1"/>
  <c r="AB34" i="1"/>
  <c r="AF34" i="1"/>
  <c r="AA33" i="1"/>
  <c r="AE33" i="1"/>
  <c r="Y34" i="1"/>
  <c r="AC34" i="1"/>
  <c r="AG34" i="1"/>
  <c r="AB33" i="1"/>
  <c r="AF33" i="1"/>
  <c r="Z34" i="1"/>
  <c r="AD34" i="1"/>
  <c r="AH34" i="1"/>
  <c r="Y33" i="1"/>
  <c r="AI33" i="1" s="1"/>
  <c r="AC33" i="1"/>
  <c r="AG33" i="1"/>
  <c r="AA34" i="1"/>
  <c r="AE34" i="1"/>
  <c r="AA27" i="1"/>
  <c r="AE27" i="1"/>
  <c r="Y28" i="1"/>
  <c r="AC28" i="1"/>
  <c r="AG28" i="1"/>
  <c r="AB27" i="1"/>
  <c r="AF27" i="1"/>
  <c r="Z28" i="1"/>
  <c r="AD28" i="1"/>
  <c r="AH28" i="1"/>
  <c r="Y27" i="1"/>
  <c r="AC27" i="1"/>
  <c r="AG27" i="1"/>
  <c r="AA28" i="1"/>
  <c r="AE28" i="1"/>
  <c r="AB28" i="1"/>
  <c r="Z27" i="1"/>
  <c r="AD27" i="1"/>
  <c r="AH27" i="1"/>
  <c r="AF28" i="1"/>
  <c r="AA21" i="1"/>
  <c r="AE21" i="1"/>
  <c r="Y22" i="1"/>
  <c r="AC22" i="1"/>
  <c r="AG22" i="1"/>
  <c r="AD21" i="1"/>
  <c r="AB21" i="1"/>
  <c r="AF21" i="1"/>
  <c r="Z22" i="1"/>
  <c r="AD22" i="1"/>
  <c r="AH22" i="1"/>
  <c r="Y21" i="1"/>
  <c r="AI21" i="1" s="1"/>
  <c r="AC21" i="1"/>
  <c r="AG21" i="1"/>
  <c r="AA22" i="1"/>
  <c r="AE22" i="1"/>
  <c r="AH21" i="1"/>
  <c r="AF22" i="1"/>
  <c r="Z21" i="1"/>
  <c r="AB22" i="1"/>
  <c r="Y15" i="1"/>
  <c r="Y16" i="1"/>
  <c r="AB9" i="1"/>
  <c r="AF9" i="1"/>
  <c r="Z10" i="1"/>
  <c r="AD10" i="1"/>
  <c r="AH10" i="1"/>
  <c r="Y10" i="1"/>
  <c r="Y9" i="1"/>
  <c r="AC9" i="1"/>
  <c r="AG9" i="1"/>
  <c r="AA10" i="1"/>
  <c r="AE10" i="1"/>
  <c r="Z9" i="1"/>
  <c r="AD9" i="1"/>
  <c r="AH9" i="1"/>
  <c r="AB10" i="1"/>
  <c r="AF10" i="1"/>
  <c r="AA9" i="1"/>
  <c r="AC10" i="1"/>
  <c r="AE9" i="1"/>
  <c r="AG10" i="1"/>
  <c r="AE4" i="1"/>
  <c r="AA4" i="1"/>
  <c r="AI4" i="1" s="1"/>
  <c r="AG3" i="1"/>
  <c r="AC3" i="1"/>
  <c r="AF13" i="1"/>
  <c r="AB13" i="1"/>
  <c r="AG12" i="1"/>
  <c r="AC12" i="1"/>
  <c r="AE16" i="1"/>
  <c r="AA16" i="1"/>
  <c r="AF15" i="1"/>
  <c r="AB15" i="1"/>
  <c r="AH19" i="1"/>
  <c r="AD19" i="1"/>
  <c r="Z19" i="1"/>
  <c r="AE18" i="1"/>
  <c r="AA18" i="1"/>
  <c r="AI6" i="1" l="1"/>
  <c r="AI3" i="1"/>
  <c r="AI10" i="1"/>
  <c r="AI22" i="1"/>
  <c r="AI27" i="1"/>
  <c r="AI28" i="1"/>
  <c r="AI16" i="1"/>
  <c r="AI7" i="1"/>
  <c r="AI18" i="1"/>
  <c r="AI34" i="1"/>
  <c r="AI31" i="1"/>
  <c r="AI9" i="1"/>
  <c r="AI15" i="1"/>
  <c r="AI30" i="1"/>
  <c r="AI19" i="1"/>
  <c r="AI25" i="1"/>
  <c r="AI37" i="1"/>
  <c r="AI36" i="1"/>
</calcChain>
</file>

<file path=xl/sharedStrings.xml><?xml version="1.0" encoding="utf-8"?>
<sst xmlns="http://schemas.openxmlformats.org/spreadsheetml/2006/main" count="85" uniqueCount="40">
  <si>
    <t>GRTS_Population</t>
  </si>
  <si>
    <t>Year</t>
  </si>
  <si>
    <t>IMW_miles</t>
  </si>
  <si>
    <t>IMW_redd_tot</t>
  </si>
  <si>
    <t>sch1</t>
  </si>
  <si>
    <t>sch2</t>
  </si>
  <si>
    <t>sch3</t>
  </si>
  <si>
    <t>sch4</t>
  </si>
  <si>
    <t>sch5</t>
  </si>
  <si>
    <t>sch6</t>
  </si>
  <si>
    <t>sch7</t>
  </si>
  <si>
    <t>sch8</t>
  </si>
  <si>
    <t>sch9</t>
  </si>
  <si>
    <t>sch10</t>
  </si>
  <si>
    <t>Abernathy</t>
  </si>
  <si>
    <t>Mill</t>
  </si>
  <si>
    <t>Germany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</si>
  <si>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</si>
  <si>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</si>
  <si>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</si>
  <si>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</si>
  <si>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</si>
  <si>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</si>
  <si>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</si>
  <si>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</si>
  <si>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</si>
  <si>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</si>
  <si>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redds1</t>
  </si>
  <si>
    <t>redds2</t>
  </si>
  <si>
    <t>redds3</t>
  </si>
  <si>
    <t>redds4</t>
  </si>
  <si>
    <t>redds5</t>
  </si>
  <si>
    <t>redds6</t>
  </si>
  <si>
    <t>redds7</t>
  </si>
  <si>
    <t>redds8</t>
  </si>
  <si>
    <t>redds9</t>
  </si>
  <si>
    <t>redds10</t>
  </si>
  <si>
    <t>Total</t>
  </si>
  <si>
    <t>Note</t>
  </si>
  <si>
    <t>Total redds = Observed counts for reaches GER 1A to GER 5 + Estimated count from Jeremy Harris tinyVAST model for reaches GER6-10, BEN, and SKULL. Observed G1A to GER 5 = 128. Estimated upstream of GER 5 = 107. Total redds = 128+107=235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</si>
</sst>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"/>
  <sheetViews>
    <sheetView tabSelected="1" topLeftCell="A22" workbookViewId="0">
      <selection activeCell="AJ49" sqref="AJ49"/>
    </sheetView>
  </sheetViews>
  <sheetFormatPr defaultRowHeight="15" x14ac:dyDescent="0.25"/>
  <cols>
    <col min="3" max="3" width="11" bestFit="1" customWidth="1"/>
    <col min="4" max="4" width="14" bestFit="1" customWidth="1"/>
    <col min="15" max="23" width="4.5703125" style="2" bestFit="1" customWidth="1"/>
    <col min="24" max="24" width="7.7109375" style="2" bestFit="1" customWidth="1"/>
    <col min="25" max="25" width="7.7109375" bestFit="1" customWidth="1"/>
    <col min="26" max="34" width="4.5703125" customWidth="1"/>
    <col min="35" max="35" width="9.140625" style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s="1" t="s">
        <v>37</v>
      </c>
      <c r="AJ1" t="s">
        <v>38</v>
      </c>
    </row>
    <row r="2" spans="1:36" x14ac:dyDescent="0.25">
      <c r="A2" t="s">
        <v>14</v>
      </c>
      <c r="B2">
        <v>2010</v>
      </c>
      <c r="C2">
        <v>22.71</v>
      </c>
      <c r="D2">
        <v>125</v>
      </c>
      <c r="E2">
        <v>125</v>
      </c>
      <c r="O2" s="2">
        <f>IF($A2="Abernathy",E2/$D2,"")</f>
        <v>1</v>
      </c>
      <c r="P2" s="2">
        <f t="shared" ref="P2:X2" si="0">IF($A2="Abernathy",F2/$D2,"")</f>
        <v>0</v>
      </c>
      <c r="Q2" s="2">
        <f t="shared" si="0"/>
        <v>0</v>
      </c>
      <c r="R2" s="2">
        <f t="shared" si="0"/>
        <v>0</v>
      </c>
      <c r="S2" s="2">
        <f t="shared" si="0"/>
        <v>0</v>
      </c>
      <c r="T2" s="2">
        <f t="shared" si="0"/>
        <v>0</v>
      </c>
      <c r="U2" s="2">
        <f t="shared" si="0"/>
        <v>0</v>
      </c>
      <c r="V2" s="2">
        <f t="shared" si="0"/>
        <v>0</v>
      </c>
      <c r="W2" s="2">
        <f t="shared" si="0"/>
        <v>0</v>
      </c>
      <c r="X2" s="2">
        <f t="shared" si="0"/>
        <v>0</v>
      </c>
      <c r="Y2" t="str">
        <f>IF(OR($A2="Mill",$A2="Germany"),IF(AND(E2&gt;0,$O$2&gt;0),E2/O$2,""),"")</f>
        <v/>
      </c>
      <c r="Z2" t="str">
        <f t="shared" ref="Z2:AH2" si="1">IF(OR($A2="Mill",$A2="Germany"),IF(AND(F2&gt;0,$O$2&gt;0),F2/P$2,""),"")</f>
        <v/>
      </c>
      <c r="AA2" t="str">
        <f t="shared" si="1"/>
        <v/>
      </c>
      <c r="AB2" t="str">
        <f t="shared" si="1"/>
        <v/>
      </c>
      <c r="AC2" t="str">
        <f t="shared" si="1"/>
        <v/>
      </c>
      <c r="AD2" t="str">
        <f t="shared" si="1"/>
        <v/>
      </c>
      <c r="AE2" t="str">
        <f t="shared" si="1"/>
        <v/>
      </c>
      <c r="AF2" t="str">
        <f t="shared" si="1"/>
        <v/>
      </c>
      <c r="AG2" t="str">
        <f t="shared" si="1"/>
        <v/>
      </c>
      <c r="AH2" t="str">
        <f t="shared" si="1"/>
        <v/>
      </c>
      <c r="AI2" s="1">
        <f>SUM($D2,$Y2:$AH2)</f>
        <v>125</v>
      </c>
    </row>
    <row r="3" spans="1:36" x14ac:dyDescent="0.25">
      <c r="A3" t="s">
        <v>15</v>
      </c>
      <c r="B3">
        <v>2010</v>
      </c>
      <c r="C3">
        <v>24.39</v>
      </c>
      <c r="E3">
        <v>75</v>
      </c>
      <c r="O3" s="2" t="str">
        <f t="shared" ref="O3:O38" si="2">IF($A3="Abernathy",E3/$D3,"")</f>
        <v/>
      </c>
      <c r="P3" s="2" t="str">
        <f t="shared" ref="P3:P38" si="3">IF($A3="Abernathy",F3/$D3,"")</f>
        <v/>
      </c>
      <c r="Q3" s="2" t="str">
        <f t="shared" ref="Q3:Q38" si="4">IF($A3="Abernathy",G3/$D3,"")</f>
        <v/>
      </c>
      <c r="R3" s="2" t="str">
        <f t="shared" ref="R3:R38" si="5">IF($A3="Abernathy",H3/$D3,"")</f>
        <v/>
      </c>
      <c r="S3" s="2" t="str">
        <f t="shared" ref="S3:S38" si="6">IF($A3="Abernathy",I3/$D3,"")</f>
        <v/>
      </c>
      <c r="T3" s="2" t="str">
        <f t="shared" ref="T3:T38" si="7">IF($A3="Abernathy",J3/$D3,"")</f>
        <v/>
      </c>
      <c r="U3" s="2" t="str">
        <f t="shared" ref="U3:U38" si="8">IF($A3="Abernathy",K3/$D3,"")</f>
        <v/>
      </c>
      <c r="V3" s="2" t="str">
        <f t="shared" ref="V3:V38" si="9">IF($A3="Abernathy",L3/$D3,"")</f>
        <v/>
      </c>
      <c r="W3" s="2" t="str">
        <f t="shared" ref="W3:W38" si="10">IF($A3="Abernathy",M3/$D3,"")</f>
        <v/>
      </c>
      <c r="X3" s="2" t="str">
        <f t="shared" ref="X3:X38" si="11">IF($A3="Abernathy",N3/$D3,"")</f>
        <v/>
      </c>
      <c r="Y3">
        <f t="shared" ref="Y3:Y4" si="12">IF(OR($A3="Mill",$A3="Germany"),IF(AND(E3&gt;0,$O$2&gt;0),E3/O$2,""),"")</f>
        <v>75</v>
      </c>
      <c r="Z3" t="str">
        <f t="shared" ref="Z3:Z4" si="13">IF(OR($A3="Mill",$A3="Germany"),IF(AND(F3&gt;0,$O$2&gt;0),F3/P$2,""),"")</f>
        <v/>
      </c>
      <c r="AA3" t="str">
        <f t="shared" ref="AA3:AA4" si="14">IF(OR($A3="Mill",$A3="Germany"),IF(AND(G3&gt;0,$O$2&gt;0),G3/Q$2,""),"")</f>
        <v/>
      </c>
      <c r="AB3" t="str">
        <f t="shared" ref="AB3:AB4" si="15">IF(OR($A3="Mill",$A3="Germany"),IF(AND(H3&gt;0,$O$2&gt;0),H3/R$2,""),"")</f>
        <v/>
      </c>
      <c r="AC3" t="str">
        <f t="shared" ref="AC3:AC4" si="16">IF(OR($A3="Mill",$A3="Germany"),IF(AND(I3&gt;0,$O$2&gt;0),I3/S$2,""),"")</f>
        <v/>
      </c>
      <c r="AD3" t="str">
        <f t="shared" ref="AD3:AD4" si="17">IF(OR($A3="Mill",$A3="Germany"),IF(AND(J3&gt;0,$O$2&gt;0),J3/T$2,""),"")</f>
        <v/>
      </c>
      <c r="AE3" t="str">
        <f t="shared" ref="AE3:AE4" si="18">IF(OR($A3="Mill",$A3="Germany"),IF(AND(K3&gt;0,$O$2&gt;0),K3/U$2,""),"")</f>
        <v/>
      </c>
      <c r="AF3" t="str">
        <f t="shared" ref="AF3:AF4" si="19">IF(OR($A3="Mill",$A3="Germany"),IF(AND(L3&gt;0,$O$2&gt;0),L3/V$2,""),"")</f>
        <v/>
      </c>
      <c r="AG3" t="str">
        <f t="shared" ref="AG3:AG4" si="20">IF(OR($A3="Mill",$A3="Germany"),IF(AND(M3&gt;0,$O$2&gt;0),M3/W$2,""),"")</f>
        <v/>
      </c>
      <c r="AH3" t="str">
        <f t="shared" ref="AH3:AH4" si="21">IF(OR($A3="Mill",$A3="Germany"),IF(AND(N3&gt;0,$O$2&gt;0),N3/X$2,""),"")</f>
        <v/>
      </c>
      <c r="AI3" s="1">
        <f t="shared" ref="AI3:AI49" si="22">SUM($D3,$Y3:$AH3)</f>
        <v>75</v>
      </c>
    </row>
    <row r="4" spans="1:36" x14ac:dyDescent="0.25">
      <c r="A4" t="s">
        <v>16</v>
      </c>
      <c r="B4">
        <v>2010</v>
      </c>
      <c r="C4">
        <v>12.34</v>
      </c>
      <c r="E4">
        <v>56</v>
      </c>
      <c r="O4" s="2" t="str">
        <f t="shared" si="2"/>
        <v/>
      </c>
      <c r="P4" s="2" t="str">
        <f t="shared" si="3"/>
        <v/>
      </c>
      <c r="Q4" s="2" t="str">
        <f t="shared" si="4"/>
        <v/>
      </c>
      <c r="R4" s="2" t="str">
        <f t="shared" si="5"/>
        <v/>
      </c>
      <c r="S4" s="2" t="str">
        <f t="shared" si="6"/>
        <v/>
      </c>
      <c r="T4" s="2" t="str">
        <f t="shared" si="7"/>
        <v/>
      </c>
      <c r="U4" s="2" t="str">
        <f t="shared" si="8"/>
        <v/>
      </c>
      <c r="V4" s="2" t="str">
        <f t="shared" si="9"/>
        <v/>
      </c>
      <c r="W4" s="2" t="str">
        <f t="shared" si="10"/>
        <v/>
      </c>
      <c r="X4" s="2" t="str">
        <f t="shared" si="11"/>
        <v/>
      </c>
      <c r="Y4">
        <f t="shared" si="12"/>
        <v>56</v>
      </c>
      <c r="Z4" t="str">
        <f t="shared" si="13"/>
        <v/>
      </c>
      <c r="AA4" t="str">
        <f t="shared" si="14"/>
        <v/>
      </c>
      <c r="AB4" t="str">
        <f t="shared" si="15"/>
        <v/>
      </c>
      <c r="AC4" t="str">
        <f t="shared" si="16"/>
        <v/>
      </c>
      <c r="AD4" t="str">
        <f t="shared" si="17"/>
        <v/>
      </c>
      <c r="AE4" t="str">
        <f t="shared" si="18"/>
        <v/>
      </c>
      <c r="AF4" t="str">
        <f t="shared" si="19"/>
        <v/>
      </c>
      <c r="AG4" t="str">
        <f t="shared" si="20"/>
        <v/>
      </c>
      <c r="AH4" t="str">
        <f t="shared" si="21"/>
        <v/>
      </c>
      <c r="AI4" s="1">
        <f t="shared" si="22"/>
        <v>56</v>
      </c>
    </row>
    <row r="5" spans="1:36" x14ac:dyDescent="0.25">
      <c r="A5" t="s">
        <v>14</v>
      </c>
      <c r="B5">
        <v>2011</v>
      </c>
      <c r="C5">
        <v>22.71</v>
      </c>
      <c r="D5">
        <v>80</v>
      </c>
      <c r="E5">
        <v>80</v>
      </c>
      <c r="O5" s="2">
        <f t="shared" si="2"/>
        <v>1</v>
      </c>
      <c r="P5" s="2">
        <f t="shared" si="3"/>
        <v>0</v>
      </c>
      <c r="Q5" s="2">
        <f t="shared" si="4"/>
        <v>0</v>
      </c>
      <c r="R5" s="2">
        <f t="shared" si="5"/>
        <v>0</v>
      </c>
      <c r="S5" s="2">
        <f t="shared" si="6"/>
        <v>0</v>
      </c>
      <c r="T5" s="2">
        <f t="shared" si="7"/>
        <v>0</v>
      </c>
      <c r="U5" s="2">
        <f t="shared" si="8"/>
        <v>0</v>
      </c>
      <c r="V5" s="2">
        <f t="shared" si="9"/>
        <v>0</v>
      </c>
      <c r="W5" s="2">
        <f t="shared" si="10"/>
        <v>0</v>
      </c>
      <c r="X5" s="2">
        <f t="shared" si="11"/>
        <v>0</v>
      </c>
      <c r="Y5" t="str">
        <f>IF(OR($A5="Mill",$A5="Germany"),IF(AND(E5&gt;0,$O$5&gt;0),E5/O$5,""),"")</f>
        <v/>
      </c>
      <c r="Z5" t="str">
        <f t="shared" ref="Z5:AH5" si="23">IF(OR($A5="Mill",$A5="Germany"),IF(AND(F5&gt;0,$O$5&gt;0),F5/P$5,""),"")</f>
        <v/>
      </c>
      <c r="AA5" t="str">
        <f t="shared" si="23"/>
        <v/>
      </c>
      <c r="AB5" t="str">
        <f t="shared" si="23"/>
        <v/>
      </c>
      <c r="AC5" t="str">
        <f t="shared" si="23"/>
        <v/>
      </c>
      <c r="AD5" t="str">
        <f t="shared" si="23"/>
        <v/>
      </c>
      <c r="AE5" t="str">
        <f t="shared" si="23"/>
        <v/>
      </c>
      <c r="AF5" t="str">
        <f t="shared" si="23"/>
        <v/>
      </c>
      <c r="AG5" t="str">
        <f t="shared" si="23"/>
        <v/>
      </c>
      <c r="AH5" t="str">
        <f t="shared" si="23"/>
        <v/>
      </c>
      <c r="AI5" s="1">
        <f t="shared" si="22"/>
        <v>80</v>
      </c>
    </row>
    <row r="6" spans="1:36" x14ac:dyDescent="0.25">
      <c r="A6" t="s">
        <v>15</v>
      </c>
      <c r="B6">
        <v>2011</v>
      </c>
      <c r="C6">
        <v>24.39</v>
      </c>
      <c r="E6">
        <v>109</v>
      </c>
      <c r="O6" s="2" t="str">
        <f t="shared" si="2"/>
        <v/>
      </c>
      <c r="P6" s="2" t="str">
        <f t="shared" si="3"/>
        <v/>
      </c>
      <c r="Q6" s="2" t="str">
        <f t="shared" si="4"/>
        <v/>
      </c>
      <c r="R6" s="2" t="str">
        <f t="shared" si="5"/>
        <v/>
      </c>
      <c r="S6" s="2" t="str">
        <f t="shared" si="6"/>
        <v/>
      </c>
      <c r="T6" s="2" t="str">
        <f t="shared" si="7"/>
        <v/>
      </c>
      <c r="U6" s="2" t="str">
        <f t="shared" si="8"/>
        <v/>
      </c>
      <c r="V6" s="2" t="str">
        <f t="shared" si="9"/>
        <v/>
      </c>
      <c r="W6" s="2" t="str">
        <f t="shared" si="10"/>
        <v/>
      </c>
      <c r="X6" s="2" t="str">
        <f t="shared" si="11"/>
        <v/>
      </c>
      <c r="Y6">
        <f t="shared" ref="Y6:Y7" si="24">IF(OR($A6="Mill",$A6="Germany"),IF(AND(E6&gt;0,$O$5&gt;0),E6/O$5,""),"")</f>
        <v>109</v>
      </c>
      <c r="Z6" t="str">
        <f t="shared" ref="Z6:Z7" si="25">IF(OR($A6="Mill",$A6="Germany"),IF(AND(F6&gt;0,$O$5&gt;0),F6/P$5,""),"")</f>
        <v/>
      </c>
      <c r="AA6" t="str">
        <f t="shared" ref="AA6:AA7" si="26">IF(OR($A6="Mill",$A6="Germany"),IF(AND(G6&gt;0,$O$5&gt;0),G6/Q$5,""),"")</f>
        <v/>
      </c>
      <c r="AB6" t="str">
        <f t="shared" ref="AB6:AB7" si="27">IF(OR($A6="Mill",$A6="Germany"),IF(AND(H6&gt;0,$O$5&gt;0),H6/R$5,""),"")</f>
        <v/>
      </c>
      <c r="AC6" t="str">
        <f t="shared" ref="AC6:AC7" si="28">IF(OR($A6="Mill",$A6="Germany"),IF(AND(I6&gt;0,$O$5&gt;0),I6/S$5,""),"")</f>
        <v/>
      </c>
      <c r="AD6" t="str">
        <f t="shared" ref="AD6:AD7" si="29">IF(OR($A6="Mill",$A6="Germany"),IF(AND(J6&gt;0,$O$5&gt;0),J6/T$5,""),"")</f>
        <v/>
      </c>
      <c r="AE6" t="str">
        <f t="shared" ref="AE6:AE7" si="30">IF(OR($A6="Mill",$A6="Germany"),IF(AND(K6&gt;0,$O$5&gt;0),K6/U$5,""),"")</f>
        <v/>
      </c>
      <c r="AF6" t="str">
        <f t="shared" ref="AF6:AF7" si="31">IF(OR($A6="Mill",$A6="Germany"),IF(AND(L6&gt;0,$O$5&gt;0),L6/V$5,""),"")</f>
        <v/>
      </c>
      <c r="AG6" t="str">
        <f t="shared" ref="AG6:AG7" si="32">IF(OR($A6="Mill",$A6="Germany"),IF(AND(M6&gt;0,$O$5&gt;0),M6/W$5,""),"")</f>
        <v/>
      </c>
      <c r="AH6" t="str">
        <f t="shared" ref="AH6:AH7" si="33">IF(OR($A6="Mill",$A6="Germany"),IF(AND(N6&gt;0,$O$5&gt;0),N6/X$5,""),"")</f>
        <v/>
      </c>
      <c r="AI6" s="1">
        <f t="shared" si="22"/>
        <v>109</v>
      </c>
    </row>
    <row r="7" spans="1:36" x14ac:dyDescent="0.25">
      <c r="A7" t="s">
        <v>16</v>
      </c>
      <c r="B7">
        <v>2011</v>
      </c>
      <c r="C7">
        <v>12.34</v>
      </c>
      <c r="E7">
        <v>41</v>
      </c>
      <c r="O7" s="2" t="str">
        <f t="shared" si="2"/>
        <v/>
      </c>
      <c r="P7" s="2" t="str">
        <f t="shared" si="3"/>
        <v/>
      </c>
      <c r="Q7" s="2" t="str">
        <f t="shared" si="4"/>
        <v/>
      </c>
      <c r="R7" s="2" t="str">
        <f t="shared" si="5"/>
        <v/>
      </c>
      <c r="S7" s="2" t="str">
        <f t="shared" si="6"/>
        <v/>
      </c>
      <c r="T7" s="2" t="str">
        <f t="shared" si="7"/>
        <v/>
      </c>
      <c r="U7" s="2" t="str">
        <f t="shared" si="8"/>
        <v/>
      </c>
      <c r="V7" s="2" t="str">
        <f t="shared" si="9"/>
        <v/>
      </c>
      <c r="W7" s="2" t="str">
        <f t="shared" si="10"/>
        <v/>
      </c>
      <c r="X7" s="2" t="str">
        <f t="shared" si="11"/>
        <v/>
      </c>
      <c r="Y7">
        <f t="shared" si="24"/>
        <v>41</v>
      </c>
      <c r="Z7" t="str">
        <f t="shared" si="25"/>
        <v/>
      </c>
      <c r="AA7" t="str">
        <f t="shared" si="26"/>
        <v/>
      </c>
      <c r="AB7" t="str">
        <f t="shared" si="27"/>
        <v/>
      </c>
      <c r="AC7" t="str">
        <f t="shared" si="28"/>
        <v/>
      </c>
      <c r="AD7" t="str">
        <f t="shared" si="29"/>
        <v/>
      </c>
      <c r="AE7" t="str">
        <f t="shared" si="30"/>
        <v/>
      </c>
      <c r="AF7" t="str">
        <f t="shared" si="31"/>
        <v/>
      </c>
      <c r="AG7" t="str">
        <f t="shared" si="32"/>
        <v/>
      </c>
      <c r="AH7" t="str">
        <f t="shared" si="33"/>
        <v/>
      </c>
      <c r="AI7" s="1">
        <f t="shared" si="22"/>
        <v>41</v>
      </c>
    </row>
    <row r="8" spans="1:36" x14ac:dyDescent="0.25">
      <c r="A8" t="s">
        <v>14</v>
      </c>
      <c r="B8">
        <v>2012</v>
      </c>
      <c r="C8">
        <v>22.71</v>
      </c>
      <c r="D8">
        <v>56</v>
      </c>
      <c r="E8">
        <v>56</v>
      </c>
      <c r="O8" s="2">
        <f t="shared" si="2"/>
        <v>1</v>
      </c>
      <c r="P8" s="2">
        <f t="shared" si="3"/>
        <v>0</v>
      </c>
      <c r="Q8" s="2">
        <f t="shared" si="4"/>
        <v>0</v>
      </c>
      <c r="R8" s="2">
        <f t="shared" si="5"/>
        <v>0</v>
      </c>
      <c r="S8" s="2">
        <f t="shared" si="6"/>
        <v>0</v>
      </c>
      <c r="T8" s="2">
        <f t="shared" si="7"/>
        <v>0</v>
      </c>
      <c r="U8" s="2">
        <f t="shared" si="8"/>
        <v>0</v>
      </c>
      <c r="V8" s="2">
        <f t="shared" si="9"/>
        <v>0</v>
      </c>
      <c r="W8" s="2">
        <f t="shared" si="10"/>
        <v>0</v>
      </c>
      <c r="X8" s="2">
        <f t="shared" si="11"/>
        <v>0</v>
      </c>
      <c r="Y8" t="str">
        <f>IF(OR($A8="Mill",$A8="Germany"),IF(AND(E8&gt;0,$O$8&gt;0),E8/O$8,""),"")</f>
        <v/>
      </c>
      <c r="Z8" t="str">
        <f t="shared" ref="Z8:AH8" si="34">IF(OR($A8="Mill",$A8="Germany"),IF(AND(F8&gt;0,$O$8&gt;0),F8/P$8,""),"")</f>
        <v/>
      </c>
      <c r="AA8" t="str">
        <f t="shared" si="34"/>
        <v/>
      </c>
      <c r="AB8" t="str">
        <f t="shared" si="34"/>
        <v/>
      </c>
      <c r="AC8" t="str">
        <f t="shared" si="34"/>
        <v/>
      </c>
      <c r="AD8" t="str">
        <f t="shared" si="34"/>
        <v/>
      </c>
      <c r="AE8" t="str">
        <f t="shared" si="34"/>
        <v/>
      </c>
      <c r="AF8" t="str">
        <f t="shared" si="34"/>
        <v/>
      </c>
      <c r="AG8" t="str">
        <f t="shared" si="34"/>
        <v/>
      </c>
      <c r="AH8" t="str">
        <f t="shared" si="34"/>
        <v/>
      </c>
      <c r="AI8" s="1">
        <f t="shared" si="22"/>
        <v>56</v>
      </c>
    </row>
    <row r="9" spans="1:36" x14ac:dyDescent="0.25">
      <c r="A9" t="s">
        <v>15</v>
      </c>
      <c r="B9">
        <v>2012</v>
      </c>
      <c r="C9">
        <v>24.39</v>
      </c>
      <c r="E9">
        <v>42</v>
      </c>
      <c r="O9" s="2" t="str">
        <f t="shared" si="2"/>
        <v/>
      </c>
      <c r="P9" s="2" t="str">
        <f t="shared" si="3"/>
        <v/>
      </c>
      <c r="Q9" s="2" t="str">
        <f t="shared" si="4"/>
        <v/>
      </c>
      <c r="R9" s="2" t="str">
        <f t="shared" si="5"/>
        <v/>
      </c>
      <c r="S9" s="2" t="str">
        <f t="shared" si="6"/>
        <v/>
      </c>
      <c r="T9" s="2" t="str">
        <f t="shared" si="7"/>
        <v/>
      </c>
      <c r="U9" s="2" t="str">
        <f t="shared" si="8"/>
        <v/>
      </c>
      <c r="V9" s="2" t="str">
        <f t="shared" si="9"/>
        <v/>
      </c>
      <c r="W9" s="2" t="str">
        <f t="shared" si="10"/>
        <v/>
      </c>
      <c r="X9" s="2" t="str">
        <f t="shared" si="11"/>
        <v/>
      </c>
      <c r="Y9">
        <f t="shared" ref="Y9:Y10" si="35">IF(OR($A9="Mill",$A9="Germany"),IF(AND(E9&gt;0,$O$8&gt;0),E9/O$8,""),"")</f>
        <v>42</v>
      </c>
      <c r="Z9" t="str">
        <f t="shared" ref="Z9:Z10" si="36">IF(OR($A9="Mill",$A9="Germany"),IF(AND(F9&gt;0,$O$8&gt;0),F9/P$8,""),"")</f>
        <v/>
      </c>
      <c r="AA9" t="str">
        <f t="shared" ref="AA9:AA10" si="37">IF(OR($A9="Mill",$A9="Germany"),IF(AND(G9&gt;0,$O$8&gt;0),G9/Q$8,""),"")</f>
        <v/>
      </c>
      <c r="AB9" t="str">
        <f t="shared" ref="AB9:AB10" si="38">IF(OR($A9="Mill",$A9="Germany"),IF(AND(H9&gt;0,$O$8&gt;0),H9/R$8,""),"")</f>
        <v/>
      </c>
      <c r="AC9" t="str">
        <f t="shared" ref="AC9:AC10" si="39">IF(OR($A9="Mill",$A9="Germany"),IF(AND(I9&gt;0,$O$8&gt;0),I9/S$8,""),"")</f>
        <v/>
      </c>
      <c r="AD9" t="str">
        <f t="shared" ref="AD9:AD10" si="40">IF(OR($A9="Mill",$A9="Germany"),IF(AND(J9&gt;0,$O$8&gt;0),J9/T$8,""),"")</f>
        <v/>
      </c>
      <c r="AE9" t="str">
        <f t="shared" ref="AE9:AE10" si="41">IF(OR($A9="Mill",$A9="Germany"),IF(AND(K9&gt;0,$O$8&gt;0),K9/U$8,""),"")</f>
        <v/>
      </c>
      <c r="AF9" t="str">
        <f t="shared" ref="AF9:AF10" si="42">IF(OR($A9="Mill",$A9="Germany"),IF(AND(L9&gt;0,$O$8&gt;0),L9/V$8,""),"")</f>
        <v/>
      </c>
      <c r="AG9" t="str">
        <f t="shared" ref="AG9:AG10" si="43">IF(OR($A9="Mill",$A9="Germany"),IF(AND(M9&gt;0,$O$8&gt;0),M9/W$8,""),"")</f>
        <v/>
      </c>
      <c r="AH9" t="str">
        <f t="shared" ref="AH9:AH10" si="44">IF(OR($A9="Mill",$A9="Germany"),IF(AND(N9&gt;0,$O$8&gt;0),N9/X$8,""),"")</f>
        <v/>
      </c>
      <c r="AI9" s="1">
        <f t="shared" si="22"/>
        <v>42</v>
      </c>
    </row>
    <row r="10" spans="1:36" x14ac:dyDescent="0.25">
      <c r="A10" t="s">
        <v>16</v>
      </c>
      <c r="B10">
        <v>2012</v>
      </c>
      <c r="C10">
        <v>12.34</v>
      </c>
      <c r="E10">
        <v>44</v>
      </c>
      <c r="O10" s="2" t="str">
        <f t="shared" si="2"/>
        <v/>
      </c>
      <c r="P10" s="2" t="str">
        <f t="shared" si="3"/>
        <v/>
      </c>
      <c r="Q10" s="2" t="str">
        <f t="shared" si="4"/>
        <v/>
      </c>
      <c r="R10" s="2" t="str">
        <f t="shared" si="5"/>
        <v/>
      </c>
      <c r="S10" s="2" t="str">
        <f t="shared" si="6"/>
        <v/>
      </c>
      <c r="T10" s="2" t="str">
        <f t="shared" si="7"/>
        <v/>
      </c>
      <c r="U10" s="2" t="str">
        <f t="shared" si="8"/>
        <v/>
      </c>
      <c r="V10" s="2" t="str">
        <f t="shared" si="9"/>
        <v/>
      </c>
      <c r="W10" s="2" t="str">
        <f t="shared" si="10"/>
        <v/>
      </c>
      <c r="X10" s="2" t="str">
        <f t="shared" si="11"/>
        <v/>
      </c>
      <c r="Y10">
        <f t="shared" si="35"/>
        <v>44</v>
      </c>
      <c r="Z10" t="str">
        <f t="shared" si="36"/>
        <v/>
      </c>
      <c r="AA10" t="str">
        <f t="shared" si="37"/>
        <v/>
      </c>
      <c r="AB10" t="str">
        <f t="shared" si="38"/>
        <v/>
      </c>
      <c r="AC10" t="str">
        <f t="shared" si="39"/>
        <v/>
      </c>
      <c r="AD10" t="str">
        <f t="shared" si="40"/>
        <v/>
      </c>
      <c r="AE10" t="str">
        <f t="shared" si="41"/>
        <v/>
      </c>
      <c r="AF10" t="str">
        <f t="shared" si="42"/>
        <v/>
      </c>
      <c r="AG10" t="str">
        <f t="shared" si="43"/>
        <v/>
      </c>
      <c r="AH10" t="str">
        <f t="shared" si="44"/>
        <v/>
      </c>
      <c r="AI10" s="1">
        <f t="shared" si="22"/>
        <v>44</v>
      </c>
    </row>
    <row r="11" spans="1:36" x14ac:dyDescent="0.25">
      <c r="A11" t="s">
        <v>14</v>
      </c>
      <c r="B11">
        <v>2013</v>
      </c>
      <c r="C11">
        <v>22.71</v>
      </c>
      <c r="D11">
        <v>85</v>
      </c>
      <c r="E11">
        <v>75</v>
      </c>
      <c r="F11">
        <v>58</v>
      </c>
      <c r="G11">
        <v>70</v>
      </c>
      <c r="H11">
        <v>60</v>
      </c>
      <c r="I11">
        <v>46</v>
      </c>
      <c r="J11">
        <v>4</v>
      </c>
      <c r="O11" s="2">
        <f t="shared" si="2"/>
        <v>0.88235294117647056</v>
      </c>
      <c r="P11" s="2">
        <f t="shared" si="3"/>
        <v>0.68235294117647061</v>
      </c>
      <c r="Q11" s="2">
        <f t="shared" si="4"/>
        <v>0.82352941176470584</v>
      </c>
      <c r="R11" s="2">
        <f t="shared" si="5"/>
        <v>0.70588235294117652</v>
      </c>
      <c r="S11" s="2">
        <f t="shared" si="6"/>
        <v>0.54117647058823526</v>
      </c>
      <c r="T11" s="2">
        <f t="shared" si="7"/>
        <v>4.7058823529411764E-2</v>
      </c>
      <c r="U11" s="2">
        <f t="shared" si="8"/>
        <v>0</v>
      </c>
      <c r="V11" s="2">
        <f t="shared" si="9"/>
        <v>0</v>
      </c>
      <c r="W11" s="2">
        <f t="shared" si="10"/>
        <v>0</v>
      </c>
      <c r="X11" s="2">
        <f t="shared" si="11"/>
        <v>0</v>
      </c>
      <c r="Y11" t="str">
        <f>IF(OR($A11="Mill",$A11="Germany"),IF(AND(E11&gt;0,$O$11&gt;0),E11/O$11,""),"")</f>
        <v/>
      </c>
      <c r="Z11" t="str">
        <f t="shared" ref="Z11:AH11" si="45">IF(OR($A11="Mill",$A11="Germany"),IF(AND(F11&gt;0,$O$11&gt;0),F11/P$11,""),"")</f>
        <v/>
      </c>
      <c r="AA11" t="str">
        <f t="shared" si="45"/>
        <v/>
      </c>
      <c r="AB11" t="str">
        <f t="shared" si="45"/>
        <v/>
      </c>
      <c r="AC11" t="str">
        <f t="shared" si="45"/>
        <v/>
      </c>
      <c r="AD11" t="str">
        <f t="shared" si="45"/>
        <v/>
      </c>
      <c r="AE11" t="str">
        <f t="shared" si="45"/>
        <v/>
      </c>
      <c r="AF11" t="str">
        <f t="shared" si="45"/>
        <v/>
      </c>
      <c r="AG11" t="str">
        <f t="shared" si="45"/>
        <v/>
      </c>
      <c r="AH11" t="str">
        <f t="shared" si="45"/>
        <v/>
      </c>
      <c r="AI11" s="1">
        <f>SUM($D11,$Y11:$AH11)</f>
        <v>85</v>
      </c>
    </row>
    <row r="12" spans="1:36" x14ac:dyDescent="0.25">
      <c r="A12" t="s">
        <v>15</v>
      </c>
      <c r="B12">
        <v>2013</v>
      </c>
      <c r="C12">
        <v>24.39</v>
      </c>
      <c r="F12">
        <v>2</v>
      </c>
      <c r="G12">
        <v>11</v>
      </c>
      <c r="H12">
        <v>3</v>
      </c>
      <c r="I12">
        <v>1</v>
      </c>
      <c r="J12">
        <v>0</v>
      </c>
      <c r="O12" s="2" t="str">
        <f t="shared" si="2"/>
        <v/>
      </c>
      <c r="P12" s="2" t="str">
        <f t="shared" si="3"/>
        <v/>
      </c>
      <c r="Q12" s="2" t="str">
        <f t="shared" si="4"/>
        <v/>
      </c>
      <c r="R12" s="2" t="str">
        <f t="shared" si="5"/>
        <v/>
      </c>
      <c r="S12" s="2" t="str">
        <f t="shared" si="6"/>
        <v/>
      </c>
      <c r="T12" s="2" t="str">
        <f t="shared" si="7"/>
        <v/>
      </c>
      <c r="U12" s="2" t="str">
        <f t="shared" si="8"/>
        <v/>
      </c>
      <c r="V12" s="2" t="str">
        <f t="shared" si="9"/>
        <v/>
      </c>
      <c r="W12" s="2" t="str">
        <f t="shared" si="10"/>
        <v/>
      </c>
      <c r="X12" s="2" t="str">
        <f t="shared" si="11"/>
        <v/>
      </c>
      <c r="Y12" t="str">
        <f>IF(OR($A12="Mill",$A12="Germany"),IF(AND(E12&gt;0,$O$11&gt;0),E12/O$11,""),"")</f>
        <v/>
      </c>
      <c r="Z12">
        <f t="shared" ref="Z12:Z13" si="46">IF(OR($A12="Mill",$A12="Germany"),IF(AND(F12&gt;0,$O$11&gt;0),F12/P$11,""),"")</f>
        <v>2.9310344827586206</v>
      </c>
      <c r="AA12">
        <f t="shared" ref="AA12:AA13" si="47">IF(OR($A12="Mill",$A12="Germany"),IF(AND(G12&gt;0,$O$11&gt;0),G12/Q$11,""),"")</f>
        <v>13.357142857142858</v>
      </c>
      <c r="AB12">
        <f t="shared" ref="AB12:AB13" si="48">IF(OR($A12="Mill",$A12="Germany"),IF(AND(H12&gt;0,$O$11&gt;0),H12/R$11,""),"")</f>
        <v>4.25</v>
      </c>
      <c r="AC12">
        <f t="shared" ref="AC12:AC13" si="49">IF(OR($A12="Mill",$A12="Germany"),IF(AND(I12&gt;0,$O$11&gt;0),I12/S$11,""),"")</f>
        <v>1.847826086956522</v>
      </c>
      <c r="AD12" t="str">
        <f t="shared" ref="AD12:AD13" si="50">IF(OR($A12="Mill",$A12="Germany"),IF(AND(J12&gt;0,$O$11&gt;0),J12/T$11,""),"")</f>
        <v/>
      </c>
      <c r="AE12" t="str">
        <f t="shared" ref="AE12:AE13" si="51">IF(OR($A12="Mill",$A12="Germany"),IF(AND(K12&gt;0,$O$11&gt;0),K12/U$11,""),"")</f>
        <v/>
      </c>
      <c r="AF12" t="str">
        <f t="shared" ref="AF12:AF13" si="52">IF(OR($A12="Mill",$A12="Germany"),IF(AND(L12&gt;0,$O$11&gt;0),L12/V$11,""),"")</f>
        <v/>
      </c>
      <c r="AG12" t="str">
        <f t="shared" ref="AG12:AG13" si="53">IF(OR($A12="Mill",$A12="Germany"),IF(AND(M12&gt;0,$O$11&gt;0),M12/W$11,""),"")</f>
        <v/>
      </c>
      <c r="AH12" t="str">
        <f t="shared" ref="AH12:AH13" si="54">IF(OR($A12="Mill",$A12="Germany"),IF(AND(N12&gt;0,$O$11&gt;0),N12/X$11,""),"")</f>
        <v/>
      </c>
      <c r="AI12" s="1">
        <f>SUM($D12,$Y12:$AH12)</f>
        <v>22.386003426858</v>
      </c>
    </row>
    <row r="13" spans="1:36" x14ac:dyDescent="0.25">
      <c r="A13" t="s">
        <v>16</v>
      </c>
      <c r="B13">
        <v>2013</v>
      </c>
      <c r="C13">
        <v>12.34</v>
      </c>
      <c r="E13">
        <v>24</v>
      </c>
      <c r="F13">
        <v>4</v>
      </c>
      <c r="O13" s="2" t="str">
        <f t="shared" si="2"/>
        <v/>
      </c>
      <c r="P13" s="2" t="str">
        <f t="shared" si="3"/>
        <v/>
      </c>
      <c r="Q13" s="2" t="str">
        <f t="shared" si="4"/>
        <v/>
      </c>
      <c r="R13" s="2" t="str">
        <f t="shared" si="5"/>
        <v/>
      </c>
      <c r="S13" s="2" t="str">
        <f t="shared" si="6"/>
        <v/>
      </c>
      <c r="T13" s="2" t="str">
        <f t="shared" si="7"/>
        <v/>
      </c>
      <c r="U13" s="2" t="str">
        <f t="shared" si="8"/>
        <v/>
      </c>
      <c r="V13" s="2" t="str">
        <f t="shared" si="9"/>
        <v/>
      </c>
      <c r="W13" s="2" t="str">
        <f t="shared" si="10"/>
        <v/>
      </c>
      <c r="X13" s="2" t="str">
        <f t="shared" si="11"/>
        <v/>
      </c>
      <c r="Y13">
        <f>IF(OR($A13="Mill",$A13="Germany"),IF(AND(E13&gt;0,$O$11&gt;0),E13/O$11,""),"")</f>
        <v>27.2</v>
      </c>
      <c r="Z13">
        <f t="shared" si="46"/>
        <v>5.8620689655172411</v>
      </c>
      <c r="AA13" t="str">
        <f t="shared" si="47"/>
        <v/>
      </c>
      <c r="AB13" t="str">
        <f t="shared" si="48"/>
        <v/>
      </c>
      <c r="AC13" t="str">
        <f t="shared" si="49"/>
        <v/>
      </c>
      <c r="AD13" t="str">
        <f t="shared" si="50"/>
        <v/>
      </c>
      <c r="AE13" t="str">
        <f t="shared" si="51"/>
        <v/>
      </c>
      <c r="AF13" t="str">
        <f t="shared" si="52"/>
        <v/>
      </c>
      <c r="AG13" t="str">
        <f t="shared" si="53"/>
        <v/>
      </c>
      <c r="AH13" t="str">
        <f t="shared" si="54"/>
        <v/>
      </c>
      <c r="AI13" s="1">
        <f>SUM($D13,$Y13:$AH13)</f>
        <v>33.062068965517241</v>
      </c>
    </row>
    <row r="14" spans="1:36" x14ac:dyDescent="0.25">
      <c r="A14" t="s">
        <v>14</v>
      </c>
      <c r="B14">
        <v>2014</v>
      </c>
      <c r="C14">
        <v>22.71</v>
      </c>
      <c r="D14">
        <v>205</v>
      </c>
      <c r="E14">
        <v>170</v>
      </c>
      <c r="F14">
        <v>163</v>
      </c>
      <c r="G14">
        <v>148</v>
      </c>
      <c r="H14">
        <v>163</v>
      </c>
      <c r="I14">
        <v>163</v>
      </c>
      <c r="J14">
        <v>140</v>
      </c>
      <c r="K14">
        <v>50</v>
      </c>
      <c r="O14" s="2">
        <f t="shared" si="2"/>
        <v>0.82926829268292679</v>
      </c>
      <c r="P14" s="2">
        <f t="shared" si="3"/>
        <v>0.79512195121951224</v>
      </c>
      <c r="Q14" s="2">
        <f t="shared" si="4"/>
        <v>0.7219512195121951</v>
      </c>
      <c r="R14" s="2">
        <f t="shared" si="5"/>
        <v>0.79512195121951224</v>
      </c>
      <c r="S14" s="2">
        <f t="shared" si="6"/>
        <v>0.79512195121951224</v>
      </c>
      <c r="T14" s="2">
        <f t="shared" si="7"/>
        <v>0.68292682926829273</v>
      </c>
      <c r="U14" s="2">
        <f t="shared" si="8"/>
        <v>0.24390243902439024</v>
      </c>
      <c r="V14" s="2">
        <f t="shared" si="9"/>
        <v>0</v>
      </c>
      <c r="W14" s="2">
        <f t="shared" si="10"/>
        <v>0</v>
      </c>
      <c r="X14" s="2">
        <f t="shared" si="11"/>
        <v>0</v>
      </c>
      <c r="Y14" t="str">
        <f>IF(OR($A14="Mill",$A14="Germany"),IF(AND(E14&gt;0,$O$14&gt;0),E14/O$14,""),"")</f>
        <v/>
      </c>
      <c r="Z14" t="str">
        <f t="shared" ref="Z14:AH14" si="55">IF(OR($A14="Mill",$A14="Germany"),IF(AND(F14&gt;0,$O$14&gt;0),F14/P$14,""),"")</f>
        <v/>
      </c>
      <c r="AA14" t="str">
        <f t="shared" si="55"/>
        <v/>
      </c>
      <c r="AB14" t="str">
        <f t="shared" si="55"/>
        <v/>
      </c>
      <c r="AC14" t="str">
        <f t="shared" si="55"/>
        <v/>
      </c>
      <c r="AD14" t="str">
        <f t="shared" si="55"/>
        <v/>
      </c>
      <c r="AE14" t="str">
        <f t="shared" si="55"/>
        <v/>
      </c>
      <c r="AF14" t="str">
        <f t="shared" si="55"/>
        <v/>
      </c>
      <c r="AG14" t="str">
        <f t="shared" si="55"/>
        <v/>
      </c>
      <c r="AH14" t="str">
        <f t="shared" si="55"/>
        <v/>
      </c>
      <c r="AI14" s="1">
        <f t="shared" si="22"/>
        <v>205</v>
      </c>
    </row>
    <row r="15" spans="1:36" x14ac:dyDescent="0.25">
      <c r="A15" t="s">
        <v>15</v>
      </c>
      <c r="B15">
        <v>2014</v>
      </c>
      <c r="C15">
        <v>24.39</v>
      </c>
      <c r="G15">
        <v>110</v>
      </c>
      <c r="H15">
        <v>40</v>
      </c>
      <c r="I15">
        <v>9</v>
      </c>
      <c r="J15">
        <v>5</v>
      </c>
      <c r="K15">
        <v>2</v>
      </c>
      <c r="O15" s="2" t="str">
        <f t="shared" si="2"/>
        <v/>
      </c>
      <c r="P15" s="2" t="str">
        <f t="shared" si="3"/>
        <v/>
      </c>
      <c r="Q15" s="2" t="str">
        <f t="shared" si="4"/>
        <v/>
      </c>
      <c r="R15" s="2" t="str">
        <f t="shared" si="5"/>
        <v/>
      </c>
      <c r="S15" s="2" t="str">
        <f t="shared" si="6"/>
        <v/>
      </c>
      <c r="T15" s="2" t="str">
        <f t="shared" si="7"/>
        <v/>
      </c>
      <c r="U15" s="2" t="str">
        <f t="shared" si="8"/>
        <v/>
      </c>
      <c r="V15" s="2" t="str">
        <f t="shared" si="9"/>
        <v/>
      </c>
      <c r="W15" s="2" t="str">
        <f t="shared" si="10"/>
        <v/>
      </c>
      <c r="X15" s="2" t="str">
        <f t="shared" si="11"/>
        <v/>
      </c>
      <c r="Y15" t="str">
        <f>IF(OR($A15="Mill",$A15="Germany"),IF(AND(E15&gt;0,$O$14&gt;0),E15/O$14,""),"")</f>
        <v/>
      </c>
      <c r="Z15" t="str">
        <f t="shared" ref="Z15:Z16" si="56">IF(OR($A15="Mill",$A15="Germany"),IF(AND(F15&gt;0,$O$14&gt;0),F15/P$14,""),"")</f>
        <v/>
      </c>
      <c r="AA15">
        <f t="shared" ref="AA15:AA16" si="57">IF(OR($A15="Mill",$A15="Germany"),IF(AND(G15&gt;0,$O$14&gt;0),G15/Q$14,""),"")</f>
        <v>152.36486486486487</v>
      </c>
      <c r="AB15">
        <f t="shared" ref="AB15:AB16" si="58">IF(OR($A15="Mill",$A15="Germany"),IF(AND(H15&gt;0,$O$14&gt;0),H15/R$14,""),"")</f>
        <v>50.306748466257666</v>
      </c>
      <c r="AC15">
        <f t="shared" ref="AC15:AC16" si="59">IF(OR($A15="Mill",$A15="Germany"),IF(AND(I15&gt;0,$O$14&gt;0),I15/S$14,""),"")</f>
        <v>11.319018404907975</v>
      </c>
      <c r="AD15">
        <f t="shared" ref="AD15:AD16" si="60">IF(OR($A15="Mill",$A15="Germany"),IF(AND(J15&gt;0,$O$14&gt;0),J15/T$14,""),"")</f>
        <v>7.3214285714285712</v>
      </c>
      <c r="AE15">
        <f t="shared" ref="AE15:AE16" si="61">IF(OR($A15="Mill",$A15="Germany"),IF(AND(K15&gt;0,$O$14&gt;0),K15/U$14,""),"")</f>
        <v>8.2000000000000011</v>
      </c>
      <c r="AF15" t="str">
        <f t="shared" ref="AF15:AF16" si="62">IF(OR($A15="Mill",$A15="Germany"),IF(AND(L15&gt;0,$O$14&gt;0),L15/V$14,""),"")</f>
        <v/>
      </c>
      <c r="AG15" t="str">
        <f t="shared" ref="AG15:AG16" si="63">IF(OR($A15="Mill",$A15="Germany"),IF(AND(M15&gt;0,$O$14&gt;0),M15/W$14,""),"")</f>
        <v/>
      </c>
      <c r="AH15" t="str">
        <f t="shared" ref="AH15:AH16" si="64">IF(OR($A15="Mill",$A15="Germany"),IF(AND(N15&gt;0,$O$14&gt;0),N15/X$14,""),"")</f>
        <v/>
      </c>
      <c r="AI15" s="1">
        <f t="shared" si="22"/>
        <v>229.51206030745908</v>
      </c>
    </row>
    <row r="16" spans="1:36" x14ac:dyDescent="0.25">
      <c r="A16" t="s">
        <v>16</v>
      </c>
      <c r="B16">
        <v>2014</v>
      </c>
      <c r="C16">
        <v>12.34</v>
      </c>
      <c r="E16">
        <v>49</v>
      </c>
      <c r="F16">
        <v>46</v>
      </c>
      <c r="O16" s="2" t="str">
        <f t="shared" si="2"/>
        <v/>
      </c>
      <c r="P16" s="2" t="str">
        <f t="shared" si="3"/>
        <v/>
      </c>
      <c r="Q16" s="2" t="str">
        <f t="shared" si="4"/>
        <v/>
      </c>
      <c r="R16" s="2" t="str">
        <f t="shared" si="5"/>
        <v/>
      </c>
      <c r="S16" s="2" t="str">
        <f t="shared" si="6"/>
        <v/>
      </c>
      <c r="T16" s="2" t="str">
        <f t="shared" si="7"/>
        <v/>
      </c>
      <c r="U16" s="2" t="str">
        <f t="shared" si="8"/>
        <v/>
      </c>
      <c r="V16" s="2" t="str">
        <f t="shared" si="9"/>
        <v/>
      </c>
      <c r="W16" s="2" t="str">
        <f t="shared" si="10"/>
        <v/>
      </c>
      <c r="X16" s="2" t="str">
        <f t="shared" si="11"/>
        <v/>
      </c>
      <c r="Y16">
        <f>IF(OR($A16="Mill",$A16="Germany"),IF(AND(E16&gt;0,$O$14&gt;0),E16/O$14,""),"")</f>
        <v>59.088235294117652</v>
      </c>
      <c r="Z16">
        <f t="shared" si="56"/>
        <v>57.852760736196316</v>
      </c>
      <c r="AA16" t="str">
        <f t="shared" si="57"/>
        <v/>
      </c>
      <c r="AB16" t="str">
        <f t="shared" si="58"/>
        <v/>
      </c>
      <c r="AC16" t="str">
        <f t="shared" si="59"/>
        <v/>
      </c>
      <c r="AD16" t="str">
        <f t="shared" si="60"/>
        <v/>
      </c>
      <c r="AE16" t="str">
        <f t="shared" si="61"/>
        <v/>
      </c>
      <c r="AF16" t="str">
        <f t="shared" si="62"/>
        <v/>
      </c>
      <c r="AG16" t="str">
        <f t="shared" si="63"/>
        <v/>
      </c>
      <c r="AH16" t="str">
        <f t="shared" si="64"/>
        <v/>
      </c>
      <c r="AI16" s="1">
        <f t="shared" si="22"/>
        <v>116.94099603031397</v>
      </c>
    </row>
    <row r="17" spans="1:35" x14ac:dyDescent="0.25">
      <c r="A17" t="s">
        <v>14</v>
      </c>
      <c r="B17">
        <v>2015</v>
      </c>
      <c r="C17">
        <v>22.71</v>
      </c>
      <c r="D17">
        <v>60</v>
      </c>
      <c r="E17">
        <v>37</v>
      </c>
      <c r="F17">
        <v>45</v>
      </c>
      <c r="G17">
        <v>45</v>
      </c>
      <c r="H17">
        <v>45</v>
      </c>
      <c r="I17">
        <v>35</v>
      </c>
      <c r="J17">
        <v>24</v>
      </c>
      <c r="K17">
        <v>45</v>
      </c>
      <c r="O17" s="2">
        <f t="shared" si="2"/>
        <v>0.6166666666666667</v>
      </c>
      <c r="P17" s="2">
        <f t="shared" si="3"/>
        <v>0.75</v>
      </c>
      <c r="Q17" s="2">
        <f t="shared" si="4"/>
        <v>0.75</v>
      </c>
      <c r="R17" s="2">
        <f t="shared" si="5"/>
        <v>0.75</v>
      </c>
      <c r="S17" s="2">
        <f t="shared" si="6"/>
        <v>0.58333333333333337</v>
      </c>
      <c r="T17" s="2">
        <f t="shared" si="7"/>
        <v>0.4</v>
      </c>
      <c r="U17" s="2">
        <f t="shared" si="8"/>
        <v>0.75</v>
      </c>
      <c r="V17" s="2">
        <f t="shared" si="9"/>
        <v>0</v>
      </c>
      <c r="W17" s="2">
        <f t="shared" si="10"/>
        <v>0</v>
      </c>
      <c r="X17" s="2">
        <f t="shared" si="11"/>
        <v>0</v>
      </c>
      <c r="Y17" t="str">
        <f>IF(OR($A17="Mill",$A17="Germany"),IF(AND(E17&gt;0,$O$17&gt;0),E17/O$17,""),"")</f>
        <v/>
      </c>
      <c r="Z17" t="str">
        <f t="shared" ref="Z17:AH17" si="65">IF(OR($A17="Mill",$A17="Germany"),IF(AND(F17&gt;0,$O$17&gt;0),F17/P$17,""),"")</f>
        <v/>
      </c>
      <c r="AA17" t="str">
        <f t="shared" si="65"/>
        <v/>
      </c>
      <c r="AB17" t="str">
        <f t="shared" si="65"/>
        <v/>
      </c>
      <c r="AC17" t="str">
        <f t="shared" si="65"/>
        <v/>
      </c>
      <c r="AD17" t="str">
        <f t="shared" si="65"/>
        <v/>
      </c>
      <c r="AE17" t="str">
        <f t="shared" si="65"/>
        <v/>
      </c>
      <c r="AF17" t="str">
        <f t="shared" si="65"/>
        <v/>
      </c>
      <c r="AG17" t="str">
        <f t="shared" si="65"/>
        <v/>
      </c>
      <c r="AH17" t="str">
        <f t="shared" si="65"/>
        <v/>
      </c>
      <c r="AI17" s="1">
        <f t="shared" si="22"/>
        <v>60</v>
      </c>
    </row>
    <row r="18" spans="1:35" x14ac:dyDescent="0.25">
      <c r="A18" t="s">
        <v>15</v>
      </c>
      <c r="B18">
        <v>2015</v>
      </c>
      <c r="C18">
        <v>24.39</v>
      </c>
      <c r="E18">
        <v>3</v>
      </c>
      <c r="G18">
        <v>16</v>
      </c>
      <c r="H18">
        <v>7</v>
      </c>
      <c r="I18">
        <v>1</v>
      </c>
      <c r="J18">
        <v>4</v>
      </c>
      <c r="K18">
        <v>2</v>
      </c>
      <c r="O18" s="2" t="str">
        <f t="shared" si="2"/>
        <v/>
      </c>
      <c r="P18" s="2" t="str">
        <f t="shared" si="3"/>
        <v/>
      </c>
      <c r="Q18" s="2" t="str">
        <f t="shared" si="4"/>
        <v/>
      </c>
      <c r="R18" s="2" t="str">
        <f t="shared" si="5"/>
        <v/>
      </c>
      <c r="S18" s="2" t="str">
        <f t="shared" si="6"/>
        <v/>
      </c>
      <c r="T18" s="2" t="str">
        <f t="shared" si="7"/>
        <v/>
      </c>
      <c r="U18" s="2" t="str">
        <f t="shared" si="8"/>
        <v/>
      </c>
      <c r="V18" s="2" t="str">
        <f t="shared" si="9"/>
        <v/>
      </c>
      <c r="W18" s="2" t="str">
        <f t="shared" si="10"/>
        <v/>
      </c>
      <c r="X18" s="2" t="str">
        <f t="shared" si="11"/>
        <v/>
      </c>
      <c r="Y18">
        <f>IF(OR($A18="Mill",$A18="Germany"),IF(AND(E18&gt;0,$O$17&gt;0),E18/O$17,""),"")</f>
        <v>4.8648648648648649</v>
      </c>
      <c r="Z18" t="str">
        <f t="shared" ref="Z18:Z19" si="66">IF(OR($A18="Mill",$A18="Germany"),IF(AND(F18&gt;0,$O$17&gt;0),F18/P$17,""),"")</f>
        <v/>
      </c>
      <c r="AA18">
        <f t="shared" ref="AA18:AA19" si="67">IF(OR($A18="Mill",$A18="Germany"),IF(AND(G18&gt;0,$O$17&gt;0),G18/Q$17,""),"")</f>
        <v>21.333333333333332</v>
      </c>
      <c r="AB18">
        <f t="shared" ref="AB18:AB19" si="68">IF(OR($A18="Mill",$A18="Germany"),IF(AND(H18&gt;0,$O$17&gt;0),H18/R$17,""),"")</f>
        <v>9.3333333333333339</v>
      </c>
      <c r="AC18">
        <f t="shared" ref="AC18:AC19" si="69">IF(OR($A18="Mill",$A18="Germany"),IF(AND(I18&gt;0,$O$17&gt;0),I18/S$17,""),"")</f>
        <v>1.7142857142857142</v>
      </c>
      <c r="AD18">
        <f t="shared" ref="AD18:AD19" si="70">IF(OR($A18="Mill",$A18="Germany"),IF(AND(J18&gt;0,$O$17&gt;0),J18/T$17,""),"")</f>
        <v>10</v>
      </c>
      <c r="AE18">
        <f t="shared" ref="AE18:AE19" si="71">IF(OR($A18="Mill",$A18="Germany"),IF(AND(K18&gt;0,$O$17&gt;0),K18/U$17,""),"")</f>
        <v>2.6666666666666665</v>
      </c>
      <c r="AF18" t="str">
        <f t="shared" ref="AF18:AF19" si="72">IF(OR($A18="Mill",$A18="Germany"),IF(AND(L18&gt;0,$O$17&gt;0),L18/V$17,""),"")</f>
        <v/>
      </c>
      <c r="AG18" t="str">
        <f t="shared" ref="AG18:AG19" si="73">IF(OR($A18="Mill",$A18="Germany"),IF(AND(M18&gt;0,$O$17&gt;0),M18/W$17,""),"")</f>
        <v/>
      </c>
      <c r="AH18" t="str">
        <f t="shared" ref="AH18:AH19" si="74">IF(OR($A18="Mill",$A18="Germany"),IF(AND(N18&gt;0,$O$17&gt;0),N18/X$17,""),"")</f>
        <v/>
      </c>
      <c r="AI18" s="1">
        <f t="shared" si="22"/>
        <v>49.912483912483914</v>
      </c>
    </row>
    <row r="19" spans="1:35" x14ac:dyDescent="0.25">
      <c r="A19" t="s">
        <v>16</v>
      </c>
      <c r="B19">
        <v>2015</v>
      </c>
      <c r="C19">
        <v>12.34</v>
      </c>
      <c r="E19">
        <v>5</v>
      </c>
      <c r="F19">
        <v>23</v>
      </c>
      <c r="O19" s="2" t="str">
        <f t="shared" si="2"/>
        <v/>
      </c>
      <c r="P19" s="2" t="str">
        <f t="shared" si="3"/>
        <v/>
      </c>
      <c r="Q19" s="2" t="str">
        <f t="shared" si="4"/>
        <v/>
      </c>
      <c r="R19" s="2" t="str">
        <f t="shared" si="5"/>
        <v/>
      </c>
      <c r="S19" s="2" t="str">
        <f t="shared" si="6"/>
        <v/>
      </c>
      <c r="T19" s="2" t="str">
        <f t="shared" si="7"/>
        <v/>
      </c>
      <c r="U19" s="2" t="str">
        <f t="shared" si="8"/>
        <v/>
      </c>
      <c r="V19" s="2" t="str">
        <f t="shared" si="9"/>
        <v/>
      </c>
      <c r="W19" s="2" t="str">
        <f t="shared" si="10"/>
        <v/>
      </c>
      <c r="X19" s="2" t="str">
        <f t="shared" si="11"/>
        <v/>
      </c>
      <c r="Y19">
        <f>IF(OR($A19="Mill",$A19="Germany"),IF(AND(E19&gt;0,$O$17&gt;0),E19/O$17,""),"")</f>
        <v>8.108108108108107</v>
      </c>
      <c r="Z19">
        <f t="shared" si="66"/>
        <v>30.666666666666668</v>
      </c>
      <c r="AA19" t="str">
        <f t="shared" si="67"/>
        <v/>
      </c>
      <c r="AB19" t="str">
        <f t="shared" si="68"/>
        <v/>
      </c>
      <c r="AC19" t="str">
        <f t="shared" si="69"/>
        <v/>
      </c>
      <c r="AD19" t="str">
        <f t="shared" si="70"/>
        <v/>
      </c>
      <c r="AE19" t="str">
        <f t="shared" si="71"/>
        <v/>
      </c>
      <c r="AF19" t="str">
        <f t="shared" si="72"/>
        <v/>
      </c>
      <c r="AG19" t="str">
        <f t="shared" si="73"/>
        <v/>
      </c>
      <c r="AH19" t="str">
        <f t="shared" si="74"/>
        <v/>
      </c>
      <c r="AI19" s="1">
        <f t="shared" si="22"/>
        <v>38.774774774774777</v>
      </c>
    </row>
    <row r="20" spans="1:35" x14ac:dyDescent="0.25">
      <c r="A20" t="s">
        <v>14</v>
      </c>
      <c r="B20">
        <v>2016</v>
      </c>
      <c r="C20">
        <v>22.71</v>
      </c>
      <c r="D20">
        <v>138</v>
      </c>
      <c r="E20">
        <v>138</v>
      </c>
      <c r="F20">
        <v>138</v>
      </c>
      <c r="G20">
        <v>132</v>
      </c>
      <c r="H20">
        <v>130</v>
      </c>
      <c r="I20">
        <v>100</v>
      </c>
      <c r="J20">
        <v>105</v>
      </c>
      <c r="K20">
        <v>72</v>
      </c>
      <c r="L20">
        <v>136</v>
      </c>
      <c r="M20">
        <v>27</v>
      </c>
      <c r="N20">
        <v>119</v>
      </c>
      <c r="O20" s="2">
        <f t="shared" si="2"/>
        <v>1</v>
      </c>
      <c r="P20" s="2">
        <f t="shared" si="3"/>
        <v>1</v>
      </c>
      <c r="Q20" s="2">
        <f t="shared" si="4"/>
        <v>0.95652173913043481</v>
      </c>
      <c r="R20" s="2">
        <f t="shared" si="5"/>
        <v>0.94202898550724634</v>
      </c>
      <c r="S20" s="2">
        <f t="shared" si="6"/>
        <v>0.72463768115942029</v>
      </c>
      <c r="T20" s="2">
        <f t="shared" si="7"/>
        <v>0.76086956521739135</v>
      </c>
      <c r="U20" s="2">
        <f t="shared" si="8"/>
        <v>0.52173913043478259</v>
      </c>
      <c r="V20" s="2">
        <f t="shared" si="9"/>
        <v>0.98550724637681164</v>
      </c>
      <c r="W20" s="2">
        <f t="shared" si="10"/>
        <v>0.19565217391304349</v>
      </c>
      <c r="X20" s="2">
        <f t="shared" si="11"/>
        <v>0.8623188405797102</v>
      </c>
      <c r="Y20" t="str">
        <f>IF(OR($A20="Mill",$A20="Germany"),IF(AND(E20&gt;0,$O$20&gt;0),E20/O$20,""),"")</f>
        <v/>
      </c>
      <c r="Z20" t="str">
        <f t="shared" ref="Z20:AH20" si="75">IF(OR($A20="Mill",$A20="Germany"),IF(AND(F20&gt;0,$O$20&gt;0),F20/P$20,""),"")</f>
        <v/>
      </c>
      <c r="AA20" t="str">
        <f t="shared" si="75"/>
        <v/>
      </c>
      <c r="AB20" t="str">
        <f t="shared" si="75"/>
        <v/>
      </c>
      <c r="AC20" t="str">
        <f t="shared" si="75"/>
        <v/>
      </c>
      <c r="AD20" t="str">
        <f t="shared" si="75"/>
        <v/>
      </c>
      <c r="AE20" t="str">
        <f t="shared" si="75"/>
        <v/>
      </c>
      <c r="AF20" t="str">
        <f t="shared" si="75"/>
        <v/>
      </c>
      <c r="AG20" t="str">
        <f t="shared" si="75"/>
        <v/>
      </c>
      <c r="AH20" t="str">
        <f t="shared" si="75"/>
        <v/>
      </c>
      <c r="AI20" s="1">
        <f t="shared" si="22"/>
        <v>138</v>
      </c>
    </row>
    <row r="21" spans="1:35" x14ac:dyDescent="0.25">
      <c r="A21" t="s">
        <v>15</v>
      </c>
      <c r="B21">
        <v>2016</v>
      </c>
      <c r="C21">
        <v>24.39</v>
      </c>
      <c r="F21">
        <v>30</v>
      </c>
      <c r="G21">
        <v>6</v>
      </c>
      <c r="H21">
        <v>20</v>
      </c>
      <c r="I21">
        <v>1</v>
      </c>
      <c r="J21">
        <v>7</v>
      </c>
      <c r="K21">
        <v>3</v>
      </c>
      <c r="N21">
        <v>15</v>
      </c>
      <c r="O21" s="2" t="str">
        <f t="shared" si="2"/>
        <v/>
      </c>
      <c r="P21" s="2" t="str">
        <f t="shared" si="3"/>
        <v/>
      </c>
      <c r="Q21" s="2" t="str">
        <f t="shared" si="4"/>
        <v/>
      </c>
      <c r="R21" s="2" t="str">
        <f t="shared" si="5"/>
        <v/>
      </c>
      <c r="S21" s="2" t="str">
        <f t="shared" si="6"/>
        <v/>
      </c>
      <c r="T21" s="2" t="str">
        <f t="shared" si="7"/>
        <v/>
      </c>
      <c r="U21" s="2" t="str">
        <f t="shared" si="8"/>
        <v/>
      </c>
      <c r="V21" s="2" t="str">
        <f t="shared" si="9"/>
        <v/>
      </c>
      <c r="W21" s="2" t="str">
        <f t="shared" si="10"/>
        <v/>
      </c>
      <c r="X21" s="2" t="str">
        <f t="shared" si="11"/>
        <v/>
      </c>
      <c r="Y21" t="str">
        <f t="shared" ref="Y21:Y22" si="76">IF(OR($A21="Mill",$A21="Germany"),IF(AND(E21&gt;0,$O$20&gt;0),E21/O$20,""),"")</f>
        <v/>
      </c>
      <c r="Z21">
        <f t="shared" ref="Z21:Z22" si="77">IF(OR($A21="Mill",$A21="Germany"),IF(AND(F21&gt;0,$O$20&gt;0),F21/P$20,""),"")</f>
        <v>30</v>
      </c>
      <c r="AA21">
        <f t="shared" ref="AA21:AA22" si="78">IF(OR($A21="Mill",$A21="Germany"),IF(AND(G21&gt;0,$O$20&gt;0),G21/Q$20,""),"")</f>
        <v>6.2727272727272725</v>
      </c>
      <c r="AB21">
        <f t="shared" ref="AB21:AB22" si="79">IF(OR($A21="Mill",$A21="Germany"),IF(AND(H21&gt;0,$O$20&gt;0),H21/R$20,""),"")</f>
        <v>21.23076923076923</v>
      </c>
      <c r="AC21">
        <f t="shared" ref="AC21:AC22" si="80">IF(OR($A21="Mill",$A21="Germany"),IF(AND(I21&gt;0,$O$20&gt;0),I21/S$20,""),"")</f>
        <v>1.38</v>
      </c>
      <c r="AD21">
        <f t="shared" ref="AD21:AD22" si="81">IF(OR($A21="Mill",$A21="Germany"),IF(AND(J21&gt;0,$O$20&gt;0),J21/T$20,""),"")</f>
        <v>9.1999999999999993</v>
      </c>
      <c r="AE21">
        <f t="shared" ref="AE21:AE22" si="82">IF(OR($A21="Mill",$A21="Germany"),IF(AND(K21&gt;0,$O$20&gt;0),K21/U$20,""),"")</f>
        <v>5.75</v>
      </c>
      <c r="AF21" t="str">
        <f t="shared" ref="AF21:AF22" si="83">IF(OR($A21="Mill",$A21="Germany"),IF(AND(L21&gt;0,$O$20&gt;0),L21/V$20,""),"")</f>
        <v/>
      </c>
      <c r="AG21" t="str">
        <f t="shared" ref="AG21:AG22" si="84">IF(OR($A21="Mill",$A21="Germany"),IF(AND(M21&gt;0,$O$20&gt;0),M21/W$20,""),"")</f>
        <v/>
      </c>
      <c r="AH21">
        <f t="shared" ref="AH21:AH22" si="85">IF(OR($A21="Mill",$A21="Germany"),IF(AND(N21&gt;0,$O$20&gt;0),N21/X$20,""),"")</f>
        <v>17.394957983193276</v>
      </c>
      <c r="AI21" s="1">
        <f t="shared" si="22"/>
        <v>91.228454486689785</v>
      </c>
    </row>
    <row r="22" spans="1:35" x14ac:dyDescent="0.25">
      <c r="A22" t="s">
        <v>16</v>
      </c>
      <c r="B22">
        <v>2016</v>
      </c>
      <c r="C22">
        <v>12.34</v>
      </c>
      <c r="E22">
        <v>1</v>
      </c>
      <c r="F22">
        <v>21</v>
      </c>
      <c r="L22">
        <v>34</v>
      </c>
      <c r="M22">
        <v>0</v>
      </c>
      <c r="O22" s="2" t="str">
        <f t="shared" si="2"/>
        <v/>
      </c>
      <c r="P22" s="2" t="str">
        <f t="shared" si="3"/>
        <v/>
      </c>
      <c r="Q22" s="2" t="str">
        <f t="shared" si="4"/>
        <v/>
      </c>
      <c r="R22" s="2" t="str">
        <f t="shared" si="5"/>
        <v/>
      </c>
      <c r="S22" s="2" t="str">
        <f t="shared" si="6"/>
        <v/>
      </c>
      <c r="T22" s="2" t="str">
        <f t="shared" si="7"/>
        <v/>
      </c>
      <c r="U22" s="2" t="str">
        <f t="shared" si="8"/>
        <v/>
      </c>
      <c r="V22" s="2" t="str">
        <f t="shared" si="9"/>
        <v/>
      </c>
      <c r="W22" s="2" t="str">
        <f t="shared" si="10"/>
        <v/>
      </c>
      <c r="X22" s="2" t="str">
        <f t="shared" si="11"/>
        <v/>
      </c>
      <c r="Y22">
        <f t="shared" si="76"/>
        <v>1</v>
      </c>
      <c r="Z22">
        <f t="shared" si="77"/>
        <v>21</v>
      </c>
      <c r="AA22" t="str">
        <f t="shared" si="78"/>
        <v/>
      </c>
      <c r="AB22" t="str">
        <f t="shared" si="79"/>
        <v/>
      </c>
      <c r="AC22" t="str">
        <f t="shared" si="80"/>
        <v/>
      </c>
      <c r="AD22" t="str">
        <f t="shared" si="81"/>
        <v/>
      </c>
      <c r="AE22" t="str">
        <f t="shared" si="82"/>
        <v/>
      </c>
      <c r="AF22">
        <f t="shared" si="83"/>
        <v>34.5</v>
      </c>
      <c r="AG22" t="str">
        <f t="shared" si="84"/>
        <v/>
      </c>
      <c r="AH22" t="str">
        <f t="shared" si="85"/>
        <v/>
      </c>
      <c r="AI22" s="1">
        <f t="shared" si="22"/>
        <v>56.5</v>
      </c>
    </row>
    <row r="23" spans="1:35" x14ac:dyDescent="0.25">
      <c r="A23" t="s">
        <v>14</v>
      </c>
      <c r="B23">
        <v>2017</v>
      </c>
      <c r="C23">
        <v>22.71</v>
      </c>
      <c r="D23">
        <v>63</v>
      </c>
      <c r="E23">
        <v>63</v>
      </c>
      <c r="F23">
        <v>62</v>
      </c>
      <c r="G23">
        <v>56</v>
      </c>
      <c r="H23">
        <v>57</v>
      </c>
      <c r="I23">
        <v>63</v>
      </c>
      <c r="J23">
        <v>48</v>
      </c>
      <c r="K23">
        <v>14</v>
      </c>
      <c r="L23">
        <v>57</v>
      </c>
      <c r="M23">
        <v>48</v>
      </c>
      <c r="O23" s="2">
        <f t="shared" si="2"/>
        <v>1</v>
      </c>
      <c r="P23" s="2">
        <f t="shared" si="3"/>
        <v>0.98412698412698407</v>
      </c>
      <c r="Q23" s="2">
        <f t="shared" si="4"/>
        <v>0.88888888888888884</v>
      </c>
      <c r="R23" s="2">
        <f t="shared" si="5"/>
        <v>0.90476190476190477</v>
      </c>
      <c r="S23" s="2">
        <f t="shared" si="6"/>
        <v>1</v>
      </c>
      <c r="T23" s="2">
        <f t="shared" si="7"/>
        <v>0.76190476190476186</v>
      </c>
      <c r="U23" s="2">
        <f t="shared" si="8"/>
        <v>0.22222222222222221</v>
      </c>
      <c r="V23" s="2">
        <f t="shared" si="9"/>
        <v>0.90476190476190477</v>
      </c>
      <c r="W23" s="2">
        <f t="shared" si="10"/>
        <v>0.76190476190476186</v>
      </c>
      <c r="X23" s="2">
        <f t="shared" si="11"/>
        <v>0</v>
      </c>
      <c r="Y23" t="str">
        <f>IF(OR($A23="Mill",$A23="Germany"),IF(AND(E23&gt;0,$O$23&gt;0),E23/O$23,""),"")</f>
        <v/>
      </c>
      <c r="Z23" t="str">
        <f t="shared" ref="Z23:AH23" si="86">IF(OR($A23="Mill",$A23="Germany"),IF(AND(F23&gt;0,$O$23&gt;0),F23/P$23,""),"")</f>
        <v/>
      </c>
      <c r="AA23" t="str">
        <f t="shared" si="86"/>
        <v/>
      </c>
      <c r="AB23" t="str">
        <f t="shared" si="86"/>
        <v/>
      </c>
      <c r="AC23" t="str">
        <f t="shared" si="86"/>
        <v/>
      </c>
      <c r="AD23" t="str">
        <f t="shared" si="86"/>
        <v/>
      </c>
      <c r="AE23" t="str">
        <f t="shared" si="86"/>
        <v/>
      </c>
      <c r="AF23" t="str">
        <f t="shared" si="86"/>
        <v/>
      </c>
      <c r="AG23" t="str">
        <f t="shared" si="86"/>
        <v/>
      </c>
      <c r="AH23" t="str">
        <f t="shared" si="86"/>
        <v/>
      </c>
      <c r="AI23" s="1">
        <f t="shared" si="22"/>
        <v>63</v>
      </c>
    </row>
    <row r="24" spans="1:35" x14ac:dyDescent="0.25">
      <c r="A24" t="s">
        <v>15</v>
      </c>
      <c r="B24">
        <v>2017</v>
      </c>
      <c r="C24">
        <v>24.39</v>
      </c>
      <c r="F24">
        <v>9</v>
      </c>
      <c r="G24">
        <v>5</v>
      </c>
      <c r="H24">
        <v>24</v>
      </c>
      <c r="I24">
        <v>13</v>
      </c>
      <c r="J24">
        <v>12</v>
      </c>
      <c r="K24">
        <v>0</v>
      </c>
      <c r="O24" s="2" t="str">
        <f t="shared" si="2"/>
        <v/>
      </c>
      <c r="P24" s="2" t="str">
        <f t="shared" si="3"/>
        <v/>
      </c>
      <c r="Q24" s="2" t="str">
        <f t="shared" si="4"/>
        <v/>
      </c>
      <c r="R24" s="2" t="str">
        <f t="shared" si="5"/>
        <v/>
      </c>
      <c r="S24" s="2" t="str">
        <f t="shared" si="6"/>
        <v/>
      </c>
      <c r="T24" s="2" t="str">
        <f t="shared" si="7"/>
        <v/>
      </c>
      <c r="U24" s="2" t="str">
        <f t="shared" si="8"/>
        <v/>
      </c>
      <c r="V24" s="2" t="str">
        <f t="shared" si="9"/>
        <v/>
      </c>
      <c r="W24" s="2" t="str">
        <f t="shared" si="10"/>
        <v/>
      </c>
      <c r="X24" s="2" t="str">
        <f t="shared" si="11"/>
        <v/>
      </c>
      <c r="Y24" t="str">
        <f>IF(OR($A24="Mill",$A24="Germany"),IF(AND(E24&gt;0,$O$23&gt;0),E24/O$23,""),"")</f>
        <v/>
      </c>
      <c r="Z24">
        <f t="shared" ref="Z24:Z25" si="87">IF(OR($A24="Mill",$A24="Germany"),IF(AND(F24&gt;0,$O$23&gt;0),F24/P$23,""),"")</f>
        <v>9.1451612903225818</v>
      </c>
      <c r="AA24">
        <f t="shared" ref="AA24:AA25" si="88">IF(OR($A24="Mill",$A24="Germany"),IF(AND(G24&gt;0,$O$23&gt;0),G24/Q$23,""),"")</f>
        <v>5.625</v>
      </c>
      <c r="AB24">
        <f t="shared" ref="AB24:AB25" si="89">IF(OR($A24="Mill",$A24="Germany"),IF(AND(H24&gt;0,$O$23&gt;0),H24/R$23,""),"")</f>
        <v>26.526315789473685</v>
      </c>
      <c r="AC24">
        <f t="shared" ref="AC24:AC25" si="90">IF(OR($A24="Mill",$A24="Germany"),IF(AND(I24&gt;0,$O$23&gt;0),I24/S$23,""),"")</f>
        <v>13</v>
      </c>
      <c r="AD24">
        <f t="shared" ref="AD24:AD25" si="91">IF(OR($A24="Mill",$A24="Germany"),IF(AND(J24&gt;0,$O$23&gt;0),J24/T$23,""),"")</f>
        <v>15.75</v>
      </c>
      <c r="AE24" t="str">
        <f t="shared" ref="AE24:AE25" si="92">IF(OR($A24="Mill",$A24="Germany"),IF(AND(K24&gt;0,$O$23&gt;0),K24/U$23,""),"")</f>
        <v/>
      </c>
      <c r="AF24" t="str">
        <f t="shared" ref="AF24:AF25" si="93">IF(OR($A24="Mill",$A24="Germany"),IF(AND(L24&gt;0,$O$23&gt;0),L24/V$23,""),"")</f>
        <v/>
      </c>
      <c r="AG24" t="str">
        <f t="shared" ref="AG24:AG25" si="94">IF(OR($A24="Mill",$A24="Germany"),IF(AND(M24&gt;0,$O$23&gt;0),M24/W$23,""),"")</f>
        <v/>
      </c>
      <c r="AH24" t="str">
        <f t="shared" ref="AH24:AH25" si="95">IF(OR($A24="Mill",$A24="Germany"),IF(AND(N24&gt;0,$O$23&gt;0),N24/X$23,""),"")</f>
        <v/>
      </c>
      <c r="AI24" s="1">
        <f t="shared" si="22"/>
        <v>70.046477079796261</v>
      </c>
    </row>
    <row r="25" spans="1:35" x14ac:dyDescent="0.25">
      <c r="A25" t="s">
        <v>16</v>
      </c>
      <c r="B25">
        <v>2017</v>
      </c>
      <c r="C25">
        <v>12.34</v>
      </c>
      <c r="J25">
        <v>1</v>
      </c>
      <c r="L25">
        <v>14</v>
      </c>
      <c r="M25">
        <v>20</v>
      </c>
      <c r="O25" s="2" t="str">
        <f t="shared" si="2"/>
        <v/>
      </c>
      <c r="P25" s="2" t="str">
        <f t="shared" si="3"/>
        <v/>
      </c>
      <c r="Q25" s="2" t="str">
        <f t="shared" si="4"/>
        <v/>
      </c>
      <c r="R25" s="2" t="str">
        <f t="shared" si="5"/>
        <v/>
      </c>
      <c r="S25" s="2" t="str">
        <f t="shared" si="6"/>
        <v/>
      </c>
      <c r="T25" s="2" t="str">
        <f t="shared" si="7"/>
        <v/>
      </c>
      <c r="U25" s="2" t="str">
        <f t="shared" si="8"/>
        <v/>
      </c>
      <c r="V25" s="2" t="str">
        <f t="shared" si="9"/>
        <v/>
      </c>
      <c r="W25" s="2" t="str">
        <f t="shared" si="10"/>
        <v/>
      </c>
      <c r="X25" s="2" t="str">
        <f t="shared" si="11"/>
        <v/>
      </c>
      <c r="Y25" t="str">
        <f>IF(OR($A25="Mill",$A25="Germany"),IF(AND(E25&gt;0,$O$23&gt;0),E25/O$23,""),"")</f>
        <v/>
      </c>
      <c r="Z25" t="str">
        <f t="shared" si="87"/>
        <v/>
      </c>
      <c r="AA25" t="str">
        <f t="shared" si="88"/>
        <v/>
      </c>
      <c r="AB25" t="str">
        <f t="shared" si="89"/>
        <v/>
      </c>
      <c r="AC25" t="str">
        <f t="shared" si="90"/>
        <v/>
      </c>
      <c r="AD25">
        <f t="shared" si="91"/>
        <v>1.3125</v>
      </c>
      <c r="AE25" t="str">
        <f t="shared" si="92"/>
        <v/>
      </c>
      <c r="AF25">
        <f t="shared" si="93"/>
        <v>15.473684210526315</v>
      </c>
      <c r="AG25">
        <f t="shared" si="94"/>
        <v>26.25</v>
      </c>
      <c r="AH25" t="str">
        <f t="shared" si="95"/>
        <v/>
      </c>
      <c r="AI25" s="1">
        <f t="shared" si="22"/>
        <v>43.036184210526315</v>
      </c>
    </row>
    <row r="26" spans="1:35" x14ac:dyDescent="0.25">
      <c r="A26" t="s">
        <v>14</v>
      </c>
      <c r="B26">
        <v>2018</v>
      </c>
      <c r="C26">
        <v>22.71</v>
      </c>
      <c r="D26">
        <v>72</v>
      </c>
      <c r="E26">
        <v>72</v>
      </c>
      <c r="F26">
        <v>65</v>
      </c>
      <c r="G26">
        <v>72</v>
      </c>
      <c r="H26">
        <v>63</v>
      </c>
      <c r="O26" s="2">
        <f t="shared" si="2"/>
        <v>1</v>
      </c>
      <c r="P26" s="2">
        <f t="shared" si="3"/>
        <v>0.90277777777777779</v>
      </c>
      <c r="Q26" s="2">
        <f t="shared" si="4"/>
        <v>1</v>
      </c>
      <c r="R26" s="2">
        <f t="shared" si="5"/>
        <v>0.875</v>
      </c>
      <c r="S26" s="2">
        <f t="shared" si="6"/>
        <v>0</v>
      </c>
      <c r="T26" s="2">
        <f t="shared" si="7"/>
        <v>0</v>
      </c>
      <c r="U26" s="2">
        <f t="shared" si="8"/>
        <v>0</v>
      </c>
      <c r="V26" s="2">
        <f t="shared" si="9"/>
        <v>0</v>
      </c>
      <c r="W26" s="2">
        <f t="shared" si="10"/>
        <v>0</v>
      </c>
      <c r="X26" s="2">
        <f t="shared" si="11"/>
        <v>0</v>
      </c>
      <c r="Y26" t="str">
        <f>IF(OR($A26="Mill",$A26="Germany"),IF(AND(E26&gt;0,$O$26&gt;0),E26/O$26,""),"")</f>
        <v/>
      </c>
      <c r="Z26" t="str">
        <f t="shared" ref="Z26:AH26" si="96">IF(OR($A26="Mill",$A26="Germany"),IF(AND(F26&gt;0,$O$26&gt;0),F26/P$26,""),"")</f>
        <v/>
      </c>
      <c r="AA26" t="str">
        <f t="shared" si="96"/>
        <v/>
      </c>
      <c r="AB26" t="str">
        <f t="shared" si="96"/>
        <v/>
      </c>
      <c r="AC26" t="str">
        <f t="shared" si="96"/>
        <v/>
      </c>
      <c r="AD26" t="str">
        <f t="shared" si="96"/>
        <v/>
      </c>
      <c r="AE26" t="str">
        <f t="shared" si="96"/>
        <v/>
      </c>
      <c r="AF26" t="str">
        <f t="shared" si="96"/>
        <v/>
      </c>
      <c r="AG26" t="str">
        <f t="shared" si="96"/>
        <v/>
      </c>
      <c r="AH26" t="str">
        <f t="shared" si="96"/>
        <v/>
      </c>
      <c r="AI26" s="1">
        <f t="shared" si="22"/>
        <v>72</v>
      </c>
    </row>
    <row r="27" spans="1:35" x14ac:dyDescent="0.25">
      <c r="A27" t="s">
        <v>15</v>
      </c>
      <c r="B27">
        <v>2018</v>
      </c>
      <c r="C27">
        <v>24.39</v>
      </c>
      <c r="E27">
        <v>3</v>
      </c>
      <c r="F27">
        <v>14</v>
      </c>
      <c r="G27">
        <v>30</v>
      </c>
      <c r="H27">
        <v>5</v>
      </c>
      <c r="O27" s="2" t="str">
        <f t="shared" si="2"/>
        <v/>
      </c>
      <c r="P27" s="2" t="str">
        <f t="shared" si="3"/>
        <v/>
      </c>
      <c r="Q27" s="2" t="str">
        <f t="shared" si="4"/>
        <v/>
      </c>
      <c r="R27" s="2" t="str">
        <f t="shared" si="5"/>
        <v/>
      </c>
      <c r="S27" s="2" t="str">
        <f t="shared" si="6"/>
        <v/>
      </c>
      <c r="T27" s="2" t="str">
        <f t="shared" si="7"/>
        <v/>
      </c>
      <c r="U27" s="2" t="str">
        <f t="shared" si="8"/>
        <v/>
      </c>
      <c r="V27" s="2" t="str">
        <f t="shared" si="9"/>
        <v/>
      </c>
      <c r="W27" s="2" t="str">
        <f t="shared" si="10"/>
        <v/>
      </c>
      <c r="X27" s="2" t="str">
        <f t="shared" si="11"/>
        <v/>
      </c>
      <c r="Y27">
        <f t="shared" ref="Y27:Y28" si="97">IF(OR($A27="Mill",$A27="Germany"),IF(AND(E27&gt;0,$O$26&gt;0),E27/O$26,""),"")</f>
        <v>3</v>
      </c>
      <c r="Z27">
        <f t="shared" ref="Z27:Z28" si="98">IF(OR($A27="Mill",$A27="Germany"),IF(AND(F27&gt;0,$O$26&gt;0),F27/P$26,""),"")</f>
        <v>15.507692307692308</v>
      </c>
      <c r="AA27">
        <f t="shared" ref="AA27:AA28" si="99">IF(OR($A27="Mill",$A27="Germany"),IF(AND(G27&gt;0,$O$26&gt;0),G27/Q$26,""),"")</f>
        <v>30</v>
      </c>
      <c r="AB27">
        <f t="shared" ref="AB27:AB28" si="100">IF(OR($A27="Mill",$A27="Germany"),IF(AND(H27&gt;0,$O$26&gt;0),H27/R$26,""),"")</f>
        <v>5.7142857142857144</v>
      </c>
      <c r="AC27" t="str">
        <f t="shared" ref="AC27:AC28" si="101">IF(OR($A27="Mill",$A27="Germany"),IF(AND(I27&gt;0,$O$26&gt;0),I27/S$26,""),"")</f>
        <v/>
      </c>
      <c r="AD27" t="str">
        <f t="shared" ref="AD27:AD28" si="102">IF(OR($A27="Mill",$A27="Germany"),IF(AND(J27&gt;0,$O$26&gt;0),J27/T$26,""),"")</f>
        <v/>
      </c>
      <c r="AE27" t="str">
        <f t="shared" ref="AE27:AE28" si="103">IF(OR($A27="Mill",$A27="Germany"),IF(AND(K27&gt;0,$O$26&gt;0),K27/U$26,""),"")</f>
        <v/>
      </c>
      <c r="AF27" t="str">
        <f t="shared" ref="AF27:AF28" si="104">IF(OR($A27="Mill",$A27="Germany"),IF(AND(L27&gt;0,$O$26&gt;0),L27/V$26,""),"")</f>
        <v/>
      </c>
      <c r="AG27" t="str">
        <f t="shared" ref="AG27:AG28" si="105">IF(OR($A27="Mill",$A27="Germany"),IF(AND(M27&gt;0,$O$26&gt;0),M27/W$26,""),"")</f>
        <v/>
      </c>
      <c r="AH27" t="str">
        <f t="shared" ref="AH27:AH28" si="106">IF(OR($A27="Mill",$A27="Germany"),IF(AND(N27&gt;0,$O$26&gt;0),N27/X$26,""),"")</f>
        <v/>
      </c>
      <c r="AI27" s="1">
        <f t="shared" si="22"/>
        <v>54.221978021978025</v>
      </c>
    </row>
    <row r="28" spans="1:35" x14ac:dyDescent="0.25">
      <c r="A28" t="s">
        <v>16</v>
      </c>
      <c r="B28">
        <v>2018</v>
      </c>
      <c r="C28">
        <v>12.34</v>
      </c>
      <c r="E28">
        <v>26</v>
      </c>
      <c r="F28">
        <v>33</v>
      </c>
      <c r="G28">
        <v>20</v>
      </c>
      <c r="O28" s="2" t="str">
        <f t="shared" si="2"/>
        <v/>
      </c>
      <c r="P28" s="2" t="str">
        <f t="shared" si="3"/>
        <v/>
      </c>
      <c r="Q28" s="2" t="str">
        <f t="shared" si="4"/>
        <v/>
      </c>
      <c r="R28" s="2" t="str">
        <f t="shared" si="5"/>
        <v/>
      </c>
      <c r="S28" s="2" t="str">
        <f t="shared" si="6"/>
        <v/>
      </c>
      <c r="T28" s="2" t="str">
        <f t="shared" si="7"/>
        <v/>
      </c>
      <c r="U28" s="2" t="str">
        <f t="shared" si="8"/>
        <v/>
      </c>
      <c r="V28" s="2" t="str">
        <f t="shared" si="9"/>
        <v/>
      </c>
      <c r="W28" s="2" t="str">
        <f t="shared" si="10"/>
        <v/>
      </c>
      <c r="X28" s="2" t="str">
        <f t="shared" si="11"/>
        <v/>
      </c>
      <c r="Y28">
        <f t="shared" si="97"/>
        <v>26</v>
      </c>
      <c r="Z28">
        <f t="shared" si="98"/>
        <v>36.553846153846152</v>
      </c>
      <c r="AA28">
        <f t="shared" si="99"/>
        <v>20</v>
      </c>
      <c r="AB28" t="str">
        <f t="shared" si="100"/>
        <v/>
      </c>
      <c r="AC28" t="str">
        <f t="shared" si="101"/>
        <v/>
      </c>
      <c r="AD28" t="str">
        <f t="shared" si="102"/>
        <v/>
      </c>
      <c r="AE28" t="str">
        <f t="shared" si="103"/>
        <v/>
      </c>
      <c r="AF28" t="str">
        <f t="shared" si="104"/>
        <v/>
      </c>
      <c r="AG28" t="str">
        <f t="shared" si="105"/>
        <v/>
      </c>
      <c r="AH28" t="str">
        <f t="shared" si="106"/>
        <v/>
      </c>
      <c r="AI28" s="1">
        <f t="shared" si="22"/>
        <v>82.553846153846152</v>
      </c>
    </row>
    <row r="29" spans="1:35" x14ac:dyDescent="0.25">
      <c r="A29" t="s">
        <v>14</v>
      </c>
      <c r="B29">
        <v>2019</v>
      </c>
      <c r="C29">
        <v>22.71</v>
      </c>
      <c r="D29">
        <v>239</v>
      </c>
      <c r="E29">
        <v>239</v>
      </c>
      <c r="O29" s="2">
        <f t="shared" si="2"/>
        <v>1</v>
      </c>
      <c r="P29" s="2">
        <f t="shared" si="3"/>
        <v>0</v>
      </c>
      <c r="Q29" s="2">
        <f t="shared" si="4"/>
        <v>0</v>
      </c>
      <c r="R29" s="2">
        <f t="shared" si="5"/>
        <v>0</v>
      </c>
      <c r="S29" s="2">
        <f t="shared" si="6"/>
        <v>0</v>
      </c>
      <c r="T29" s="2">
        <f t="shared" si="7"/>
        <v>0</v>
      </c>
      <c r="U29" s="2">
        <f t="shared" si="8"/>
        <v>0</v>
      </c>
      <c r="V29" s="2">
        <f t="shared" si="9"/>
        <v>0</v>
      </c>
      <c r="W29" s="2">
        <f t="shared" si="10"/>
        <v>0</v>
      </c>
      <c r="X29" s="2">
        <f t="shared" si="11"/>
        <v>0</v>
      </c>
      <c r="Y29" t="str">
        <f>IF(OR($A29="Mill",$A29="Germany"),IF(AND(E29&gt;0,$O$29&gt;0),E29/O$29,""),"")</f>
        <v/>
      </c>
      <c r="Z29" t="str">
        <f t="shared" ref="Z29:AH29" si="107">IF(OR($A29="Mill",$A29="Germany"),IF(AND(F29&gt;0,$O$29&gt;0),F29/P$29,""),"")</f>
        <v/>
      </c>
      <c r="AA29" t="str">
        <f t="shared" si="107"/>
        <v/>
      </c>
      <c r="AB29" t="str">
        <f t="shared" si="107"/>
        <v/>
      </c>
      <c r="AC29" t="str">
        <f t="shared" si="107"/>
        <v/>
      </c>
      <c r="AD29" t="str">
        <f t="shared" si="107"/>
        <v/>
      </c>
      <c r="AE29" t="str">
        <f t="shared" si="107"/>
        <v/>
      </c>
      <c r="AF29" t="str">
        <f t="shared" si="107"/>
        <v/>
      </c>
      <c r="AG29" t="str">
        <f t="shared" si="107"/>
        <v/>
      </c>
      <c r="AH29" t="str">
        <f t="shared" si="107"/>
        <v/>
      </c>
      <c r="AI29" s="1">
        <f t="shared" si="22"/>
        <v>239</v>
      </c>
    </row>
    <row r="30" spans="1:35" x14ac:dyDescent="0.25">
      <c r="A30" t="s">
        <v>15</v>
      </c>
      <c r="B30">
        <v>2019</v>
      </c>
      <c r="C30">
        <v>24.39</v>
      </c>
      <c r="E30">
        <v>107</v>
      </c>
      <c r="O30" s="2" t="str">
        <f t="shared" si="2"/>
        <v/>
      </c>
      <c r="P30" s="2" t="str">
        <f t="shared" si="3"/>
        <v/>
      </c>
      <c r="Q30" s="2" t="str">
        <f t="shared" si="4"/>
        <v/>
      </c>
      <c r="R30" s="2" t="str">
        <f t="shared" si="5"/>
        <v/>
      </c>
      <c r="S30" s="2" t="str">
        <f t="shared" si="6"/>
        <v/>
      </c>
      <c r="T30" s="2" t="str">
        <f t="shared" si="7"/>
        <v/>
      </c>
      <c r="U30" s="2" t="str">
        <f t="shared" si="8"/>
        <v/>
      </c>
      <c r="V30" s="2" t="str">
        <f t="shared" si="9"/>
        <v/>
      </c>
      <c r="W30" s="2" t="str">
        <f t="shared" si="10"/>
        <v/>
      </c>
      <c r="X30" s="2" t="str">
        <f t="shared" si="11"/>
        <v/>
      </c>
      <c r="Y30">
        <f t="shared" ref="Y30" si="108">IF(OR($A30="Mill",$A30="Germany"),IF(AND(E30&gt;0,$O$29&gt;0),E30/O$29,""),"")</f>
        <v>107</v>
      </c>
      <c r="Z30" t="str">
        <f t="shared" ref="Z30:Z31" si="109">IF(OR($A30="Mill",$A30="Germany"),IF(AND(F30&gt;0,$O$29&gt;0),F30/P$29,""),"")</f>
        <v/>
      </c>
      <c r="AA30" t="str">
        <f t="shared" ref="AA30:AA31" si="110">IF(OR($A30="Mill",$A30="Germany"),IF(AND(G30&gt;0,$O$29&gt;0),G30/Q$29,""),"")</f>
        <v/>
      </c>
      <c r="AB30" t="str">
        <f t="shared" ref="AB30:AB31" si="111">IF(OR($A30="Mill",$A30="Germany"),IF(AND(H30&gt;0,$O$29&gt;0),H30/R$29,""),"")</f>
        <v/>
      </c>
      <c r="AC30" t="str">
        <f t="shared" ref="AC30:AC31" si="112">IF(OR($A30="Mill",$A30="Germany"),IF(AND(I30&gt;0,$O$29&gt;0),I30/S$29,""),"")</f>
        <v/>
      </c>
      <c r="AD30" t="str">
        <f t="shared" ref="AD30:AD31" si="113">IF(OR($A30="Mill",$A30="Germany"),IF(AND(J30&gt;0,$O$29&gt;0),J30/T$29,""),"")</f>
        <v/>
      </c>
      <c r="AE30" t="str">
        <f t="shared" ref="AE30:AE31" si="114">IF(OR($A30="Mill",$A30="Germany"),IF(AND(K30&gt;0,$O$29&gt;0),K30/U$29,""),"")</f>
        <v/>
      </c>
      <c r="AF30" t="str">
        <f t="shared" ref="AF30:AF31" si="115">IF(OR($A30="Mill",$A30="Germany"),IF(AND(L30&gt;0,$O$29&gt;0),L30/V$29,""),"")</f>
        <v/>
      </c>
      <c r="AG30" t="str">
        <f t="shared" ref="AG30:AG31" si="116">IF(OR($A30="Mill",$A30="Germany"),IF(AND(M30&gt;0,$O$29&gt;0),M30/W$29,""),"")</f>
        <v/>
      </c>
      <c r="AH30" t="str">
        <f t="shared" ref="AH30:AH31" si="117">IF(OR($A30="Mill",$A30="Germany"),IF(AND(N30&gt;0,$O$29&gt;0),N30/X$29,""),"")</f>
        <v/>
      </c>
      <c r="AI30" s="1">
        <f t="shared" si="22"/>
        <v>107</v>
      </c>
    </row>
    <row r="31" spans="1:35" x14ac:dyDescent="0.25">
      <c r="A31" t="s">
        <v>16</v>
      </c>
      <c r="B31">
        <v>2019</v>
      </c>
      <c r="C31">
        <v>12.34</v>
      </c>
      <c r="E31">
        <v>83</v>
      </c>
      <c r="O31" s="2" t="str">
        <f t="shared" si="2"/>
        <v/>
      </c>
      <c r="P31" s="2" t="str">
        <f t="shared" si="3"/>
        <v/>
      </c>
      <c r="Q31" s="2" t="str">
        <f t="shared" si="4"/>
        <v/>
      </c>
      <c r="R31" s="2" t="str">
        <f t="shared" si="5"/>
        <v/>
      </c>
      <c r="S31" s="2" t="str">
        <f t="shared" si="6"/>
        <v/>
      </c>
      <c r="T31" s="2" t="str">
        <f t="shared" si="7"/>
        <v/>
      </c>
      <c r="U31" s="2" t="str">
        <f t="shared" si="8"/>
        <v/>
      </c>
      <c r="V31" s="2" t="str">
        <f t="shared" si="9"/>
        <v/>
      </c>
      <c r="W31" s="2" t="str">
        <f t="shared" si="10"/>
        <v/>
      </c>
      <c r="X31" s="2" t="str">
        <f t="shared" si="11"/>
        <v/>
      </c>
      <c r="Y31">
        <f>IF(OR($A31="Mill",$A31="Germany"),IF(AND(E31&gt;0,$O$29&gt;0),E31/O$29,""),"")</f>
        <v>83</v>
      </c>
      <c r="Z31" t="str">
        <f t="shared" si="109"/>
        <v/>
      </c>
      <c r="AA31" t="str">
        <f t="shared" si="110"/>
        <v/>
      </c>
      <c r="AB31" t="str">
        <f t="shared" si="111"/>
        <v/>
      </c>
      <c r="AC31" t="str">
        <f t="shared" si="112"/>
        <v/>
      </c>
      <c r="AD31" t="str">
        <f t="shared" si="113"/>
        <v/>
      </c>
      <c r="AE31" t="str">
        <f t="shared" si="114"/>
        <v/>
      </c>
      <c r="AF31" t="str">
        <f t="shared" si="115"/>
        <v/>
      </c>
      <c r="AG31" t="str">
        <f t="shared" si="116"/>
        <v/>
      </c>
      <c r="AH31" t="str">
        <f t="shared" si="117"/>
        <v/>
      </c>
      <c r="AI31" s="1">
        <f t="shared" si="22"/>
        <v>83</v>
      </c>
    </row>
    <row r="32" spans="1:35" x14ac:dyDescent="0.25">
      <c r="A32" t="s">
        <v>14</v>
      </c>
      <c r="B32">
        <v>2020</v>
      </c>
      <c r="C32">
        <v>22.71</v>
      </c>
      <c r="D32">
        <v>142</v>
      </c>
      <c r="E32">
        <v>142</v>
      </c>
      <c r="O32" s="2">
        <f t="shared" si="2"/>
        <v>1</v>
      </c>
      <c r="P32" s="2">
        <f t="shared" si="3"/>
        <v>0</v>
      </c>
      <c r="Q32" s="2">
        <f t="shared" si="4"/>
        <v>0</v>
      </c>
      <c r="R32" s="2">
        <f t="shared" si="5"/>
        <v>0</v>
      </c>
      <c r="S32" s="2">
        <f t="shared" si="6"/>
        <v>0</v>
      </c>
      <c r="T32" s="2">
        <f t="shared" si="7"/>
        <v>0</v>
      </c>
      <c r="U32" s="2">
        <f t="shared" si="8"/>
        <v>0</v>
      </c>
      <c r="V32" s="2">
        <f t="shared" si="9"/>
        <v>0</v>
      </c>
      <c r="W32" s="2">
        <f t="shared" si="10"/>
        <v>0</v>
      </c>
      <c r="X32" s="2">
        <f t="shared" si="11"/>
        <v>0</v>
      </c>
      <c r="Y32" t="str">
        <f>IF(OR($A32="Mill",$A32="Germany"),IF(AND(E32&gt;0,$O$32&gt;0),E32/O$32,""),"")</f>
        <v/>
      </c>
      <c r="Z32" t="str">
        <f t="shared" ref="Z32:AH32" si="118">IF(OR($A32="Mill",$A32="Germany"),IF(AND(F32&gt;0,$O$32&gt;0),F32/P$32,""),"")</f>
        <v/>
      </c>
      <c r="AA32" t="str">
        <f t="shared" si="118"/>
        <v/>
      </c>
      <c r="AB32" t="str">
        <f t="shared" si="118"/>
        <v/>
      </c>
      <c r="AC32" t="str">
        <f t="shared" si="118"/>
        <v/>
      </c>
      <c r="AD32" t="str">
        <f t="shared" si="118"/>
        <v/>
      </c>
      <c r="AE32" t="str">
        <f t="shared" si="118"/>
        <v/>
      </c>
      <c r="AF32" t="str">
        <f t="shared" si="118"/>
        <v/>
      </c>
      <c r="AG32" t="str">
        <f t="shared" si="118"/>
        <v/>
      </c>
      <c r="AH32" t="str">
        <f t="shared" si="118"/>
        <v/>
      </c>
      <c r="AI32" s="1">
        <f t="shared" si="22"/>
        <v>142</v>
      </c>
    </row>
    <row r="33" spans="1:35" x14ac:dyDescent="0.25">
      <c r="A33" t="s">
        <v>15</v>
      </c>
      <c r="B33">
        <v>2020</v>
      </c>
      <c r="C33">
        <v>24.39</v>
      </c>
      <c r="E33">
        <v>116</v>
      </c>
      <c r="O33" s="2" t="str">
        <f t="shared" si="2"/>
        <v/>
      </c>
      <c r="P33" s="2" t="str">
        <f t="shared" si="3"/>
        <v/>
      </c>
      <c r="Q33" s="2" t="str">
        <f t="shared" si="4"/>
        <v/>
      </c>
      <c r="R33" s="2" t="str">
        <f t="shared" si="5"/>
        <v/>
      </c>
      <c r="S33" s="2" t="str">
        <f t="shared" si="6"/>
        <v/>
      </c>
      <c r="T33" s="2" t="str">
        <f t="shared" si="7"/>
        <v/>
      </c>
      <c r="U33" s="2" t="str">
        <f t="shared" si="8"/>
        <v/>
      </c>
      <c r="V33" s="2" t="str">
        <f t="shared" si="9"/>
        <v/>
      </c>
      <c r="W33" s="2" t="str">
        <f t="shared" si="10"/>
        <v/>
      </c>
      <c r="X33" s="2" t="str">
        <f t="shared" si="11"/>
        <v/>
      </c>
      <c r="Y33">
        <f t="shared" ref="Y33:Y34" si="119">IF(OR($A33="Mill",$A33="Germany"),IF(AND(E33&gt;0,$O$32&gt;0),E33/O$32,""),"")</f>
        <v>116</v>
      </c>
      <c r="Z33" t="str">
        <f t="shared" ref="Z33:Z34" si="120">IF(OR($A33="Mill",$A33="Germany"),IF(AND(F33&gt;0,$O$32&gt;0),F33/P$32,""),"")</f>
        <v/>
      </c>
      <c r="AA33" t="str">
        <f t="shared" ref="AA33:AA34" si="121">IF(OR($A33="Mill",$A33="Germany"),IF(AND(G33&gt;0,$O$32&gt;0),G33/Q$32,""),"")</f>
        <v/>
      </c>
      <c r="AB33" t="str">
        <f t="shared" ref="AB33:AB34" si="122">IF(OR($A33="Mill",$A33="Germany"),IF(AND(H33&gt;0,$O$32&gt;0),H33/R$32,""),"")</f>
        <v/>
      </c>
      <c r="AC33" t="str">
        <f t="shared" ref="AC33:AC34" si="123">IF(OR($A33="Mill",$A33="Germany"),IF(AND(I33&gt;0,$O$32&gt;0),I33/S$32,""),"")</f>
        <v/>
      </c>
      <c r="AD33" t="str">
        <f t="shared" ref="AD33:AD34" si="124">IF(OR($A33="Mill",$A33="Germany"),IF(AND(J33&gt;0,$O$32&gt;0),J33/T$32,""),"")</f>
        <v/>
      </c>
      <c r="AE33" t="str">
        <f t="shared" ref="AE33:AE34" si="125">IF(OR($A33="Mill",$A33="Germany"),IF(AND(K33&gt;0,$O$32&gt;0),K33/U$32,""),"")</f>
        <v/>
      </c>
      <c r="AF33" t="str">
        <f t="shared" ref="AF33:AF34" si="126">IF(OR($A33="Mill",$A33="Germany"),IF(AND(L33&gt;0,$O$32&gt;0),L33/V$32,""),"")</f>
        <v/>
      </c>
      <c r="AG33" t="str">
        <f t="shared" ref="AG33:AG34" si="127">IF(OR($A33="Mill",$A33="Germany"),IF(AND(M33&gt;0,$O$32&gt;0),M33/W$32,""),"")</f>
        <v/>
      </c>
      <c r="AH33" t="str">
        <f t="shared" ref="AH33:AH34" si="128">IF(OR($A33="Mill",$A33="Germany"),IF(AND(N33&gt;0,$O$32&gt;0),N33/X$32,""),"")</f>
        <v/>
      </c>
      <c r="AI33" s="1">
        <f t="shared" si="22"/>
        <v>116</v>
      </c>
    </row>
    <row r="34" spans="1:35" x14ac:dyDescent="0.25">
      <c r="A34" t="s">
        <v>16</v>
      </c>
      <c r="B34">
        <v>2020</v>
      </c>
      <c r="C34">
        <v>12.34</v>
      </c>
      <c r="E34">
        <v>75</v>
      </c>
      <c r="O34" s="2" t="str">
        <f t="shared" si="2"/>
        <v/>
      </c>
      <c r="P34" s="2" t="str">
        <f t="shared" si="3"/>
        <v/>
      </c>
      <c r="Q34" s="2" t="str">
        <f t="shared" si="4"/>
        <v/>
      </c>
      <c r="R34" s="2" t="str">
        <f t="shared" si="5"/>
        <v/>
      </c>
      <c r="S34" s="2" t="str">
        <f t="shared" si="6"/>
        <v/>
      </c>
      <c r="T34" s="2" t="str">
        <f t="shared" si="7"/>
        <v/>
      </c>
      <c r="U34" s="2" t="str">
        <f t="shared" si="8"/>
        <v/>
      </c>
      <c r="V34" s="2" t="str">
        <f t="shared" si="9"/>
        <v/>
      </c>
      <c r="W34" s="2" t="str">
        <f t="shared" si="10"/>
        <v/>
      </c>
      <c r="X34" s="2" t="str">
        <f t="shared" si="11"/>
        <v/>
      </c>
      <c r="Y34">
        <f t="shared" si="119"/>
        <v>75</v>
      </c>
      <c r="Z34" t="str">
        <f t="shared" si="120"/>
        <v/>
      </c>
      <c r="AA34" t="str">
        <f t="shared" si="121"/>
        <v/>
      </c>
      <c r="AB34" t="str">
        <f t="shared" si="122"/>
        <v/>
      </c>
      <c r="AC34" t="str">
        <f t="shared" si="123"/>
        <v/>
      </c>
      <c r="AD34" t="str">
        <f t="shared" si="124"/>
        <v/>
      </c>
      <c r="AE34" t="str">
        <f t="shared" si="125"/>
        <v/>
      </c>
      <c r="AF34" t="str">
        <f t="shared" si="126"/>
        <v/>
      </c>
      <c r="AG34" t="str">
        <f t="shared" si="127"/>
        <v/>
      </c>
      <c r="AH34" t="str">
        <f t="shared" si="128"/>
        <v/>
      </c>
      <c r="AI34" s="1">
        <f t="shared" si="22"/>
        <v>75</v>
      </c>
    </row>
    <row r="35" spans="1:35" x14ac:dyDescent="0.25">
      <c r="A35" t="s">
        <v>14</v>
      </c>
      <c r="B35">
        <v>2021</v>
      </c>
      <c r="C35">
        <v>22.71</v>
      </c>
      <c r="D35">
        <v>174</v>
      </c>
      <c r="E35">
        <v>174</v>
      </c>
      <c r="O35" s="2">
        <f t="shared" si="2"/>
        <v>1</v>
      </c>
      <c r="P35" s="2">
        <f t="shared" si="3"/>
        <v>0</v>
      </c>
      <c r="Q35" s="2">
        <f t="shared" si="4"/>
        <v>0</v>
      </c>
      <c r="R35" s="2">
        <f t="shared" si="5"/>
        <v>0</v>
      </c>
      <c r="S35" s="2">
        <f t="shared" si="6"/>
        <v>0</v>
      </c>
      <c r="T35" s="2">
        <f t="shared" si="7"/>
        <v>0</v>
      </c>
      <c r="U35" s="2">
        <f t="shared" si="8"/>
        <v>0</v>
      </c>
      <c r="V35" s="2">
        <f t="shared" si="9"/>
        <v>0</v>
      </c>
      <c r="W35" s="2">
        <f t="shared" si="10"/>
        <v>0</v>
      </c>
      <c r="X35" s="2">
        <f t="shared" si="11"/>
        <v>0</v>
      </c>
      <c r="Y35" t="str">
        <f>IF(OR($A35="Mill",$A35="Germany"),IF(AND(E35&gt;0,$O$35&gt;0),E35/O$35,""),"")</f>
        <v/>
      </c>
      <c r="Z35" t="str">
        <f t="shared" ref="Z35:AH35" si="129">IF(OR($A35="Mill",$A35="Germany"),IF(AND(F35&gt;0,$O$35&gt;0),F35/P$35,""),"")</f>
        <v/>
      </c>
      <c r="AA35" t="str">
        <f t="shared" si="129"/>
        <v/>
      </c>
      <c r="AB35" t="str">
        <f t="shared" si="129"/>
        <v/>
      </c>
      <c r="AC35" t="str">
        <f t="shared" si="129"/>
        <v/>
      </c>
      <c r="AD35" t="str">
        <f t="shared" si="129"/>
        <v/>
      </c>
      <c r="AE35" t="str">
        <f t="shared" si="129"/>
        <v/>
      </c>
      <c r="AF35" t="str">
        <f t="shared" si="129"/>
        <v/>
      </c>
      <c r="AG35" t="str">
        <f t="shared" si="129"/>
        <v/>
      </c>
      <c r="AH35" t="str">
        <f t="shared" si="129"/>
        <v/>
      </c>
      <c r="AI35" s="1">
        <f t="shared" si="22"/>
        <v>174</v>
      </c>
    </row>
    <row r="36" spans="1:35" x14ac:dyDescent="0.25">
      <c r="A36" t="s">
        <v>15</v>
      </c>
      <c r="B36">
        <v>2021</v>
      </c>
      <c r="C36">
        <v>24.39</v>
      </c>
      <c r="E36">
        <v>97</v>
      </c>
      <c r="O36" s="2" t="str">
        <f t="shared" si="2"/>
        <v/>
      </c>
      <c r="P36" s="2" t="str">
        <f t="shared" si="3"/>
        <v/>
      </c>
      <c r="Q36" s="2" t="str">
        <f t="shared" si="4"/>
        <v/>
      </c>
      <c r="R36" s="2" t="str">
        <f t="shared" si="5"/>
        <v/>
      </c>
      <c r="S36" s="2" t="str">
        <f t="shared" si="6"/>
        <v/>
      </c>
      <c r="T36" s="2" t="str">
        <f t="shared" si="7"/>
        <v/>
      </c>
      <c r="U36" s="2" t="str">
        <f t="shared" si="8"/>
        <v/>
      </c>
      <c r="V36" s="2" t="str">
        <f t="shared" si="9"/>
        <v/>
      </c>
      <c r="W36" s="2" t="str">
        <f t="shared" si="10"/>
        <v/>
      </c>
      <c r="X36" s="2" t="str">
        <f t="shared" si="11"/>
        <v/>
      </c>
      <c r="Y36">
        <f t="shared" ref="Y36:Y37" si="130">IF(OR($A36="Mill",$A36="Germany"),IF(AND(E36&gt;0,$O$35&gt;0),E36/O$35,""),"")</f>
        <v>97</v>
      </c>
      <c r="Z36" t="str">
        <f t="shared" ref="Z36:Z40" si="131">IF(OR($A36="Mill",$A36="Germany"),IF(AND(F36&gt;0,$O$35&gt;0),F36/P$35,""),"")</f>
        <v/>
      </c>
      <c r="AA36" t="str">
        <f t="shared" ref="AA36:AA40" si="132">IF(OR($A36="Mill",$A36="Germany"),IF(AND(G36&gt;0,$O$35&gt;0),G36/Q$35,""),"")</f>
        <v/>
      </c>
      <c r="AB36" t="str">
        <f t="shared" ref="AB36:AB40" si="133">IF(OR($A36="Mill",$A36="Germany"),IF(AND(H36&gt;0,$O$35&gt;0),H36/R$35,""),"")</f>
        <v/>
      </c>
      <c r="AC36" t="str">
        <f t="shared" ref="AC36:AC40" si="134">IF(OR($A36="Mill",$A36="Germany"),IF(AND(I36&gt;0,$O$35&gt;0),I36/S$35,""),"")</f>
        <v/>
      </c>
      <c r="AD36" t="str">
        <f t="shared" ref="AD36:AD40" si="135">IF(OR($A36="Mill",$A36="Germany"),IF(AND(J36&gt;0,$O$35&gt;0),J36/T$35,""),"")</f>
        <v/>
      </c>
      <c r="AE36" t="str">
        <f t="shared" ref="AE36:AE40" si="136">IF(OR($A36="Mill",$A36="Germany"),IF(AND(K36&gt;0,$O$35&gt;0),K36/U$35,""),"")</f>
        <v/>
      </c>
      <c r="AF36" t="str">
        <f t="shared" ref="AF36:AF40" si="137">IF(OR($A36="Mill",$A36="Germany"),IF(AND(L36&gt;0,$O$35&gt;0),L36/V$35,""),"")</f>
        <v/>
      </c>
      <c r="AG36" t="str">
        <f t="shared" ref="AG36:AG40" si="138">IF(OR($A36="Mill",$A36="Germany"),IF(AND(M36&gt;0,$O$35&gt;0),M36/W$35,""),"")</f>
        <v/>
      </c>
      <c r="AH36" t="str">
        <f t="shared" ref="AH36:AH40" si="139">IF(OR($A36="Mill",$A36="Germany"),IF(AND(N36&gt;0,$O$35&gt;0),N36/X$35,""),"")</f>
        <v/>
      </c>
      <c r="AI36" s="1">
        <f t="shared" si="22"/>
        <v>97</v>
      </c>
    </row>
    <row r="37" spans="1:35" x14ac:dyDescent="0.25">
      <c r="A37" t="s">
        <v>16</v>
      </c>
      <c r="B37">
        <v>2021</v>
      </c>
      <c r="C37">
        <v>12.34</v>
      </c>
      <c r="E37">
        <v>45</v>
      </c>
      <c r="O37" s="2" t="str">
        <f t="shared" si="2"/>
        <v/>
      </c>
      <c r="P37" s="2" t="str">
        <f t="shared" si="3"/>
        <v/>
      </c>
      <c r="Q37" s="2" t="str">
        <f t="shared" si="4"/>
        <v/>
      </c>
      <c r="R37" s="2" t="str">
        <f t="shared" si="5"/>
        <v/>
      </c>
      <c r="S37" s="2" t="str">
        <f t="shared" si="6"/>
        <v/>
      </c>
      <c r="T37" s="2" t="str">
        <f t="shared" si="7"/>
        <v/>
      </c>
      <c r="U37" s="2" t="str">
        <f t="shared" si="8"/>
        <v/>
      </c>
      <c r="V37" s="2" t="str">
        <f t="shared" si="9"/>
        <v/>
      </c>
      <c r="W37" s="2" t="str">
        <f t="shared" si="10"/>
        <v/>
      </c>
      <c r="X37" s="2" t="str">
        <f t="shared" si="11"/>
        <v/>
      </c>
      <c r="Y37">
        <f t="shared" si="130"/>
        <v>45</v>
      </c>
      <c r="Z37" t="str">
        <f t="shared" si="131"/>
        <v/>
      </c>
      <c r="AA37" t="str">
        <f t="shared" si="132"/>
        <v/>
      </c>
      <c r="AB37" t="str">
        <f t="shared" si="133"/>
        <v/>
      </c>
      <c r="AC37" t="str">
        <f t="shared" si="134"/>
        <v/>
      </c>
      <c r="AD37" t="str">
        <f t="shared" si="135"/>
        <v/>
      </c>
      <c r="AE37" t="str">
        <f t="shared" si="136"/>
        <v/>
      </c>
      <c r="AF37" t="str">
        <f t="shared" si="137"/>
        <v/>
      </c>
      <c r="AG37" t="str">
        <f t="shared" si="138"/>
        <v/>
      </c>
      <c r="AH37" t="str">
        <f t="shared" si="139"/>
        <v/>
      </c>
      <c r="AI37" s="1">
        <f t="shared" si="22"/>
        <v>45</v>
      </c>
    </row>
    <row r="38" spans="1:35" x14ac:dyDescent="0.25">
      <c r="A38" t="s">
        <v>14</v>
      </c>
      <c r="B38">
        <v>2022</v>
      </c>
      <c r="C38">
        <v>22.71</v>
      </c>
      <c r="D38">
        <v>229</v>
      </c>
      <c r="E38">
        <v>229</v>
      </c>
      <c r="O38" s="2">
        <f t="shared" si="2"/>
        <v>1</v>
      </c>
      <c r="P38" s="2">
        <f t="shared" si="3"/>
        <v>0</v>
      </c>
      <c r="Q38" s="2">
        <f t="shared" si="4"/>
        <v>0</v>
      </c>
      <c r="R38" s="2">
        <f t="shared" si="5"/>
        <v>0</v>
      </c>
      <c r="S38" s="2">
        <f t="shared" si="6"/>
        <v>0</v>
      </c>
      <c r="T38" s="2">
        <f t="shared" si="7"/>
        <v>0</v>
      </c>
      <c r="U38" s="2">
        <f t="shared" si="8"/>
        <v>0</v>
      </c>
      <c r="V38" s="2">
        <f t="shared" si="9"/>
        <v>0</v>
      </c>
      <c r="W38" s="2">
        <f t="shared" si="10"/>
        <v>0</v>
      </c>
      <c r="X38" s="2">
        <f t="shared" si="11"/>
        <v>0</v>
      </c>
      <c r="Y38" t="str">
        <f>IF(OR($A38="Mill",$A38="Germany"),IF(AND(E38&gt;0,$O$35&gt;0),E38/O$35,""),"")</f>
        <v/>
      </c>
      <c r="Z38" t="str">
        <f t="shared" si="131"/>
        <v/>
      </c>
      <c r="AA38" t="str">
        <f t="shared" si="132"/>
        <v/>
      </c>
      <c r="AB38" t="str">
        <f t="shared" si="133"/>
        <v/>
      </c>
      <c r="AC38" t="str">
        <f t="shared" si="134"/>
        <v/>
      </c>
      <c r="AD38" t="str">
        <f t="shared" si="135"/>
        <v/>
      </c>
      <c r="AE38" t="str">
        <f t="shared" si="136"/>
        <v/>
      </c>
      <c r="AF38" t="str">
        <f t="shared" si="137"/>
        <v/>
      </c>
      <c r="AG38" t="str">
        <f t="shared" si="138"/>
        <v/>
      </c>
      <c r="AH38" t="str">
        <f t="shared" si="139"/>
        <v/>
      </c>
      <c r="AI38" s="1">
        <f t="shared" si="22"/>
        <v>229</v>
      </c>
    </row>
    <row r="39" spans="1:35" x14ac:dyDescent="0.25">
      <c r="A39" t="s">
        <v>15</v>
      </c>
      <c r="B39">
        <v>2022</v>
      </c>
      <c r="C39">
        <v>24.39</v>
      </c>
      <c r="E39">
        <v>133</v>
      </c>
      <c r="O39" s="2" t="str">
        <f t="shared" ref="O39:O43" si="140">IF($A39="Abernathy",E39/$D39,"")</f>
        <v/>
      </c>
      <c r="P39" s="2" t="str">
        <f t="shared" ref="P39:P43" si="141">IF($A39="Abernathy",F39/$D39,"")</f>
        <v/>
      </c>
      <c r="Q39" s="2" t="str">
        <f t="shared" ref="Q39:Q43" si="142">IF($A39="Abernathy",G39/$D39,"")</f>
        <v/>
      </c>
      <c r="R39" s="2" t="str">
        <f t="shared" ref="R39:R43" si="143">IF($A39="Abernathy",H39/$D39,"")</f>
        <v/>
      </c>
      <c r="S39" s="2" t="str">
        <f t="shared" ref="S39:S43" si="144">IF($A39="Abernathy",I39/$D39,"")</f>
        <v/>
      </c>
      <c r="T39" s="2" t="str">
        <f t="shared" ref="T39:T43" si="145">IF($A39="Abernathy",J39/$D39,"")</f>
        <v/>
      </c>
      <c r="U39" s="2" t="str">
        <f t="shared" ref="U39:U43" si="146">IF($A39="Abernathy",K39/$D39,"")</f>
        <v/>
      </c>
      <c r="V39" s="2" t="str">
        <f t="shared" ref="V39:V43" si="147">IF($A39="Abernathy",L39/$D39,"")</f>
        <v/>
      </c>
      <c r="W39" s="2" t="str">
        <f t="shared" ref="W39:W43" si="148">IF($A39="Abernathy",M39/$D39,"")</f>
        <v/>
      </c>
      <c r="X39" s="2" t="str">
        <f t="shared" ref="X39:X43" si="149">IF($A39="Abernathy",N39/$D39,"")</f>
        <v/>
      </c>
      <c r="Y39">
        <f t="shared" ref="Y39:Y43" si="150">IF(OR($A39="Mill",$A39="Germany"),IF(AND(E39&gt;0,$O$35&gt;0),E39/O$35,""),"")</f>
        <v>133</v>
      </c>
      <c r="Z39" t="str">
        <f t="shared" si="131"/>
        <v/>
      </c>
      <c r="AA39" t="str">
        <f t="shared" si="132"/>
        <v/>
      </c>
      <c r="AB39" t="str">
        <f t="shared" si="133"/>
        <v/>
      </c>
      <c r="AC39" t="str">
        <f t="shared" si="134"/>
        <v/>
      </c>
      <c r="AD39" t="str">
        <f t="shared" si="135"/>
        <v/>
      </c>
      <c r="AE39" t="str">
        <f t="shared" si="136"/>
        <v/>
      </c>
      <c r="AF39" t="str">
        <f t="shared" si="137"/>
        <v/>
      </c>
      <c r="AG39" t="str">
        <f t="shared" si="138"/>
        <v/>
      </c>
      <c r="AH39" t="str">
        <f t="shared" si="139"/>
        <v/>
      </c>
      <c r="AI39" s="1">
        <f t="shared" si="22"/>
        <v>133</v>
      </c>
    </row>
    <row r="40" spans="1:35" x14ac:dyDescent="0.25">
      <c r="A40" t="s">
        <v>16</v>
      </c>
      <c r="B40">
        <v>2022</v>
      </c>
      <c r="C40">
        <v>12.34</v>
      </c>
      <c r="E40">
        <v>115</v>
      </c>
      <c r="O40" s="2" t="str">
        <f t="shared" si="140"/>
        <v/>
      </c>
      <c r="P40" s="2" t="str">
        <f t="shared" si="141"/>
        <v/>
      </c>
      <c r="Q40" s="2" t="str">
        <f t="shared" si="142"/>
        <v/>
      </c>
      <c r="R40" s="2" t="str">
        <f t="shared" si="143"/>
        <v/>
      </c>
      <c r="S40" s="2" t="str">
        <f t="shared" si="144"/>
        <v/>
      </c>
      <c r="T40" s="2" t="str">
        <f t="shared" si="145"/>
        <v/>
      </c>
      <c r="U40" s="2" t="str">
        <f t="shared" si="146"/>
        <v/>
      </c>
      <c r="V40" s="2" t="str">
        <f t="shared" si="147"/>
        <v/>
      </c>
      <c r="W40" s="2" t="str">
        <f t="shared" si="148"/>
        <v/>
      </c>
      <c r="X40" s="2" t="str">
        <f t="shared" si="149"/>
        <v/>
      </c>
      <c r="Y40">
        <f t="shared" si="150"/>
        <v>115</v>
      </c>
      <c r="Z40" t="str">
        <f t="shared" si="131"/>
        <v/>
      </c>
      <c r="AA40" t="str">
        <f t="shared" si="132"/>
        <v/>
      </c>
      <c r="AB40" t="str">
        <f t="shared" si="133"/>
        <v/>
      </c>
      <c r="AC40" t="str">
        <f t="shared" si="134"/>
        <v/>
      </c>
      <c r="AD40" t="str">
        <f t="shared" si="135"/>
        <v/>
      </c>
      <c r="AE40" t="str">
        <f t="shared" si="136"/>
        <v/>
      </c>
      <c r="AF40" t="str">
        <f t="shared" si="137"/>
        <v/>
      </c>
      <c r="AG40" t="str">
        <f t="shared" si="138"/>
        <v/>
      </c>
      <c r="AH40" t="str">
        <f t="shared" si="139"/>
        <v/>
      </c>
      <c r="AI40" s="1">
        <f t="shared" si="22"/>
        <v>115</v>
      </c>
    </row>
    <row r="41" spans="1:35" x14ac:dyDescent="0.25">
      <c r="A41" t="s">
        <v>14</v>
      </c>
      <c r="B41">
        <v>2023</v>
      </c>
      <c r="C41">
        <v>22.71</v>
      </c>
      <c r="D41">
        <v>246</v>
      </c>
      <c r="E41">
        <v>246</v>
      </c>
      <c r="O41" s="2">
        <f t="shared" si="140"/>
        <v>1</v>
      </c>
      <c r="P41" s="2">
        <f t="shared" si="141"/>
        <v>0</v>
      </c>
      <c r="Q41" s="2">
        <f t="shared" si="142"/>
        <v>0</v>
      </c>
      <c r="R41" s="2">
        <f t="shared" si="143"/>
        <v>0</v>
      </c>
      <c r="S41" s="2">
        <f t="shared" si="144"/>
        <v>0</v>
      </c>
      <c r="T41" s="2">
        <f t="shared" si="145"/>
        <v>0</v>
      </c>
      <c r="U41" s="2">
        <f t="shared" si="146"/>
        <v>0</v>
      </c>
      <c r="V41" s="2">
        <f t="shared" si="147"/>
        <v>0</v>
      </c>
      <c r="W41" s="2">
        <f t="shared" si="148"/>
        <v>0</v>
      </c>
      <c r="X41" s="2">
        <f t="shared" si="149"/>
        <v>0</v>
      </c>
      <c r="Y41" t="str">
        <f t="shared" si="150"/>
        <v/>
      </c>
      <c r="AI41" s="1">
        <f t="shared" si="22"/>
        <v>246</v>
      </c>
    </row>
    <row r="42" spans="1:35" x14ac:dyDescent="0.25">
      <c r="A42" t="s">
        <v>15</v>
      </c>
      <c r="B42">
        <v>2023</v>
      </c>
      <c r="C42">
        <v>24.39</v>
      </c>
      <c r="E42">
        <v>167</v>
      </c>
      <c r="O42" s="2" t="str">
        <f t="shared" si="140"/>
        <v/>
      </c>
      <c r="P42" s="2" t="str">
        <f t="shared" si="141"/>
        <v/>
      </c>
      <c r="Q42" s="2" t="str">
        <f t="shared" si="142"/>
        <v/>
      </c>
      <c r="R42" s="2" t="str">
        <f t="shared" si="143"/>
        <v/>
      </c>
      <c r="S42" s="2" t="str">
        <f t="shared" si="144"/>
        <v/>
      </c>
      <c r="T42" s="2" t="str">
        <f t="shared" si="145"/>
        <v/>
      </c>
      <c r="U42" s="2" t="str">
        <f t="shared" si="146"/>
        <v/>
      </c>
      <c r="V42" s="2" t="str">
        <f t="shared" si="147"/>
        <v/>
      </c>
      <c r="W42" s="2" t="str">
        <f t="shared" si="148"/>
        <v/>
      </c>
      <c r="X42" s="2" t="str">
        <f t="shared" si="149"/>
        <v/>
      </c>
      <c r="Y42">
        <f t="shared" si="150"/>
        <v>167</v>
      </c>
      <c r="AI42" s="1">
        <f t="shared" si="22"/>
        <v>167</v>
      </c>
    </row>
    <row r="43" spans="1:35" x14ac:dyDescent="0.25">
      <c r="A43" t="s">
        <v>16</v>
      </c>
      <c r="B43">
        <v>2023</v>
      </c>
      <c r="C43">
        <v>12.34</v>
      </c>
      <c r="E43">
        <v>129</v>
      </c>
      <c r="O43" s="2" t="str">
        <f t="shared" si="140"/>
        <v/>
      </c>
      <c r="P43" s="2" t="str">
        <f t="shared" si="141"/>
        <v/>
      </c>
      <c r="Q43" s="2" t="str">
        <f t="shared" si="142"/>
        <v/>
      </c>
      <c r="R43" s="2" t="str">
        <f t="shared" si="143"/>
        <v/>
      </c>
      <c r="S43" s="2" t="str">
        <f t="shared" si="144"/>
        <v/>
      </c>
      <c r="T43" s="2" t="str">
        <f t="shared" si="145"/>
        <v/>
      </c>
      <c r="U43" s="2" t="str">
        <f t="shared" si="146"/>
        <v/>
      </c>
      <c r="V43" s="2" t="str">
        <f t="shared" si="147"/>
        <v/>
      </c>
      <c r="W43" s="2" t="str">
        <f t="shared" si="148"/>
        <v/>
      </c>
      <c r="X43" s="2" t="str">
        <f t="shared" si="149"/>
        <v/>
      </c>
      <c r="Y43">
        <f t="shared" si="150"/>
        <v>129</v>
      </c>
      <c r="AI43" s="1">
        <f t="shared" si="22"/>
        <v>129</v>
      </c>
    </row>
    <row r="44" spans="1:35" x14ac:dyDescent="0.25">
      <c r="A44" t="s">
        <v>14</v>
      </c>
      <c r="B44">
        <v>2024</v>
      </c>
      <c r="C44">
        <v>22.71</v>
      </c>
      <c r="D44">
        <v>399</v>
      </c>
      <c r="E44">
        <v>399</v>
      </c>
      <c r="O44" s="2">
        <f t="shared" ref="O44:O49" si="151">IF($A44="Abernathy",E44/$D44,"")</f>
        <v>1</v>
      </c>
      <c r="P44" s="2">
        <f t="shared" ref="P44:P46" si="152">IF($A44="Abernathy",F44/$D44,"")</f>
        <v>0</v>
      </c>
      <c r="Q44" s="2">
        <f t="shared" ref="Q44:Q46" si="153">IF($A44="Abernathy",G44/$D44,"")</f>
        <v>0</v>
      </c>
      <c r="R44" s="2">
        <f t="shared" ref="R44:R46" si="154">IF($A44="Abernathy",H44/$D44,"")</f>
        <v>0</v>
      </c>
      <c r="S44" s="2">
        <f t="shared" ref="S44:S46" si="155">IF($A44="Abernathy",I44/$D44,"")</f>
        <v>0</v>
      </c>
      <c r="T44" s="2">
        <f t="shared" ref="T44:T46" si="156">IF($A44="Abernathy",J44/$D44,"")</f>
        <v>0</v>
      </c>
      <c r="U44" s="2">
        <f t="shared" ref="U44:U46" si="157">IF($A44="Abernathy",K44/$D44,"")</f>
        <v>0</v>
      </c>
      <c r="V44" s="2">
        <f t="shared" ref="V44:V46" si="158">IF($A44="Abernathy",L44/$D44,"")</f>
        <v>0</v>
      </c>
      <c r="W44" s="2">
        <f t="shared" ref="W44:W46" si="159">IF($A44="Abernathy",M44/$D44,"")</f>
        <v>0</v>
      </c>
      <c r="X44" s="2">
        <f t="shared" ref="X44:X46" si="160">IF($A44="Abernathy",N44/$D44,"")</f>
        <v>0</v>
      </c>
      <c r="Y44" t="str">
        <f t="shared" ref="Y44:Y49" si="161">IF(OR($A44="Mill",$A44="Germany"),IF(AND(E44&gt;0,$O$35&gt;0),E44/O$35,""),"")</f>
        <v/>
      </c>
      <c r="AI44" s="1">
        <f t="shared" si="22"/>
        <v>399</v>
      </c>
    </row>
    <row r="45" spans="1:35" x14ac:dyDescent="0.25">
      <c r="A45" t="s">
        <v>15</v>
      </c>
      <c r="B45">
        <v>2024</v>
      </c>
      <c r="C45">
        <v>24.39</v>
      </c>
      <c r="E45">
        <v>275</v>
      </c>
      <c r="O45" s="2" t="str">
        <f t="shared" si="151"/>
        <v/>
      </c>
      <c r="P45" s="2" t="str">
        <f t="shared" si="152"/>
        <v/>
      </c>
      <c r="Q45" s="2" t="str">
        <f t="shared" si="153"/>
        <v/>
      </c>
      <c r="R45" s="2" t="str">
        <f t="shared" si="154"/>
        <v/>
      </c>
      <c r="S45" s="2" t="str">
        <f t="shared" si="155"/>
        <v/>
      </c>
      <c r="T45" s="2" t="str">
        <f t="shared" si="156"/>
        <v/>
      </c>
      <c r="U45" s="2" t="str">
        <f t="shared" si="157"/>
        <v/>
      </c>
      <c r="V45" s="2" t="str">
        <f t="shared" si="158"/>
        <v/>
      </c>
      <c r="W45" s="2" t="str">
        <f t="shared" si="159"/>
        <v/>
      </c>
      <c r="X45" s="2" t="str">
        <f t="shared" si="160"/>
        <v/>
      </c>
      <c r="Y45">
        <f t="shared" si="161"/>
        <v>275</v>
      </c>
      <c r="AI45" s="1">
        <f t="shared" si="22"/>
        <v>275</v>
      </c>
    </row>
    <row r="46" spans="1:35" x14ac:dyDescent="0.25">
      <c r="A46" t="s">
        <v>16</v>
      </c>
      <c r="B46">
        <v>2024</v>
      </c>
      <c r="C46">
        <v>12.34</v>
      </c>
      <c r="E46">
        <v>207</v>
      </c>
      <c r="O46" s="2" t="str">
        <f t="shared" ref="O46:O47" si="162">IF($A46="Abernathy",E46/$D46,"")</f>
        <v/>
      </c>
      <c r="P46" s="2" t="str">
        <f t="shared" ref="P46:P47" si="163">IF($A46="Abernathy",F46/$D46,"")</f>
        <v/>
      </c>
      <c r="Q46" s="2" t="str">
        <f t="shared" ref="Q46:Q47" si="164">IF($A46="Abernathy",G46/$D46,"")</f>
        <v/>
      </c>
      <c r="R46" s="2" t="str">
        <f t="shared" ref="R46:R47" si="165">IF($A46="Abernathy",H46/$D46,"")</f>
        <v/>
      </c>
      <c r="S46" s="2" t="str">
        <f t="shared" ref="S46:S47" si="166">IF($A46="Abernathy",I46/$D46,"")</f>
        <v/>
      </c>
      <c r="T46" s="2" t="str">
        <f t="shared" ref="T46:T47" si="167">IF($A46="Abernathy",J46/$D46,"")</f>
        <v/>
      </c>
      <c r="U46" s="2" t="str">
        <f t="shared" ref="U46:U47" si="168">IF($A46="Abernathy",K46/$D46,"")</f>
        <v/>
      </c>
      <c r="V46" s="2" t="str">
        <f t="shared" ref="V46:V47" si="169">IF($A46="Abernathy",L46/$D46,"")</f>
        <v/>
      </c>
      <c r="W46" s="2" t="str">
        <f t="shared" ref="W46:W47" si="170">IF($A46="Abernathy",M46/$D46,"")</f>
        <v/>
      </c>
      <c r="X46" s="2" t="str">
        <f t="shared" ref="X46" si="171">IF($A46="Abernathy",N46/$D46,"")</f>
        <v/>
      </c>
      <c r="Y46">
        <f t="shared" si="161"/>
        <v>207</v>
      </c>
      <c r="AI46" s="1">
        <f t="shared" si="22"/>
        <v>207</v>
      </c>
    </row>
    <row r="47" spans="1:35" x14ac:dyDescent="0.25">
      <c r="A47" t="s">
        <v>14</v>
      </c>
      <c r="B47">
        <v>2025</v>
      </c>
      <c r="C47">
        <v>22.71</v>
      </c>
      <c r="D47">
        <v>431</v>
      </c>
      <c r="E47">
        <v>431</v>
      </c>
      <c r="O47" s="2">
        <f t="shared" si="162"/>
        <v>1</v>
      </c>
      <c r="P47" s="2">
        <f t="shared" si="163"/>
        <v>0</v>
      </c>
      <c r="Q47" s="2">
        <f t="shared" si="164"/>
        <v>0</v>
      </c>
      <c r="R47" s="2">
        <f t="shared" si="165"/>
        <v>0</v>
      </c>
      <c r="S47" s="2">
        <f t="shared" si="166"/>
        <v>0</v>
      </c>
      <c r="T47" s="2">
        <f t="shared" si="167"/>
        <v>0</v>
      </c>
      <c r="U47" s="2">
        <f t="shared" si="168"/>
        <v>0</v>
      </c>
      <c r="V47" s="2">
        <f t="shared" si="169"/>
        <v>0</v>
      </c>
      <c r="W47" s="2">
        <f t="shared" si="170"/>
        <v>0</v>
      </c>
      <c r="Y47" t="str">
        <f t="shared" si="161"/>
        <v/>
      </c>
      <c r="AI47" s="1">
        <f t="shared" si="22"/>
        <v>431</v>
      </c>
    </row>
    <row r="48" spans="1:35" x14ac:dyDescent="0.25">
      <c r="A48" t="s">
        <v>15</v>
      </c>
      <c r="B48">
        <v>2025</v>
      </c>
      <c r="C48">
        <v>24.39</v>
      </c>
      <c r="E48">
        <v>385</v>
      </c>
      <c r="O48" s="2" t="str">
        <f t="shared" si="151"/>
        <v/>
      </c>
      <c r="Y48">
        <f t="shared" si="161"/>
        <v>385</v>
      </c>
      <c r="AI48" s="1">
        <f t="shared" si="22"/>
        <v>385</v>
      </c>
    </row>
    <row r="49" spans="1:36" x14ac:dyDescent="0.25">
      <c r="A49" t="s">
        <v>16</v>
      </c>
      <c r="B49">
        <v>2025</v>
      </c>
      <c r="C49">
        <v>12.34</v>
      </c>
      <c r="E49">
        <v>235</v>
      </c>
      <c r="O49" s="2" t="str">
        <f t="shared" si="151"/>
        <v/>
      </c>
      <c r="Y49">
        <f t="shared" si="161"/>
        <v>235</v>
      </c>
      <c r="AI49" s="1">
        <f t="shared" si="22"/>
        <v>235</v>
      </c>
      <c r="AJ49" t="s">
        <v>39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IMW_redds_04.07.2022_tb and jam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Buehrens, Thomas W (DFW)</dc:creator>
  <cp:lastModifiedBy>Lamperth, Jamie S (DFW)</cp:lastModifiedBy>
  <dcterms:created xsi:type="dcterms:W3CDTF">2022-11-10T17:06:23Z</dcterms:created>
  <dcterms:modified xsi:type="dcterms:W3CDTF">2026-06-23T17:35:05Z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2022-11-10T16:15:47Z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5637d608-063b-462e-9ad7-3406f43d85d7</vt:lpwstr>
  </property>
  <property fmtid="{D5CDD505-2E9C-101B-9397-08002B2CF9AE}" pid="8" name="MSIP_Label_45011977-b912-4387-97a4-f4c94a801377_ContentBits">
    <vt:lpwstr>0</vt:lpwstr>
  </property>
</Properties>
</file>